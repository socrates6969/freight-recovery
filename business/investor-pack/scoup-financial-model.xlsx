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view 2026-10-19" sheetId="1" state="visible" r:id="rId1"/>
    <sheet name="Cover" sheetId="2" state="visible" r:id="rId2"/>
    <sheet name="Assumptions" sheetId="3" state="visible" r:id="rId3"/>
    <sheet name="Downside" sheetId="4" state="visible" r:id="rId4"/>
    <sheet name="Base" sheetId="5" state="visible" r:id="rId5"/>
    <sheet name="Upside" sheetId="6" state="visible" r:id="rId6"/>
    <sheet name="Monthly" sheetId="7" state="visible" r:id="rId7"/>
    <sheet name="Financing" sheetId="8" state="visible" r:id="rId8"/>
    <sheet name="Use of funds" sheetId="9" state="visible" r:id="rId9"/>
    <sheet name="Unit economics" sheetId="10" state="visible" r:id="rId10"/>
    <sheet name="Customer value" sheetId="11" state="visible" r:id="rId11"/>
    <sheet name="Competitors" sheetId="12" state="visible" r:id="rId12"/>
    <sheet name="Sources" sheetId="13" state="visible" r:id="rId13"/>
    <sheet name="Sources (verified)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00;[Red](#,##0.00)"/>
    <numFmt numFmtId="165" formatCode="0.0"/>
    <numFmt numFmtId="166" formatCode="#,##0;[Red](#,##0)"/>
    <numFmt numFmtId="167" formatCode="#,##0.0"/>
    <numFmt numFmtId="168" formatCode="0.0&quot;x&quot;"/>
    <numFmt numFmtId="169" formatCode="$#,##0"/>
  </numFmts>
  <fonts count="13">
    <font>
      <name val="Calibri"/>
      <family val="2"/>
      <color theme="1"/>
      <sz val="11"/>
      <scheme val="minor"/>
    </font>
    <font>
      <name val="Segoe UI"/>
      <b val="1"/>
      <color rgb="000B2545"/>
      <sz val="14"/>
    </font>
    <font>
      <name val="Segoe UI"/>
      <sz val="10"/>
    </font>
    <font>
      <name val="Segoe UI"/>
      <b val="1"/>
      <color rgb="000B2545"/>
      <sz val="11"/>
    </font>
    <font>
      <name val="Segoe UI"/>
      <b val="1"/>
      <color rgb="00FFFFFF"/>
      <sz val="10"/>
    </font>
    <font>
      <name val="Segoe UI"/>
      <color rgb="001F4FBF"/>
      <sz val="10"/>
    </font>
    <font>
      <name val="Segoe UI"/>
      <i val="1"/>
      <color rgb="005A6570"/>
      <sz val="9"/>
    </font>
    <font>
      <name val="Segoe UI"/>
      <b val="1"/>
      <sz val="10"/>
    </font>
    <font>
      <name val="Aptos Display"/>
      <b val="1"/>
      <color rgb="00FFFFFF"/>
      <sz val="16"/>
    </font>
    <font>
      <name val="Aptos"/>
      <b val="1"/>
      <color rgb="008A1C1C"/>
      <sz val="11"/>
    </font>
    <font>
      <name val="Aptos"/>
      <b val="1"/>
      <color rgb="0015344A"/>
      <sz val="10"/>
    </font>
    <font>
      <name val="Aptos"/>
      <color rgb="00222222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2F4F7"/>
      </patternFill>
    </fill>
    <fill>
      <patternFill patternType="solid">
        <fgColor rgb="0015344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9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5" fillId="0" borderId="0" pivotButton="0" quotePrefix="0" xfId="0"/>
    <xf numFmtId="2" fontId="5" fillId="0" borderId="0" pivotButton="0" quotePrefix="0" xfId="0"/>
    <xf numFmtId="166" fontId="2" fillId="0" borderId="0" pivotButton="0" quotePrefix="0" xfId="0"/>
    <xf numFmtId="166" fontId="7" fillId="3" borderId="0" pivotButton="0" quotePrefix="0" xfId="0"/>
    <xf numFmtId="167" fontId="2" fillId="0" borderId="0" pivotButton="0" quotePrefix="0" xfId="0"/>
    <xf numFmtId="164" fontId="7" fillId="3" borderId="0" pivotButton="0" quotePrefix="0" xfId="0"/>
    <xf numFmtId="164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7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9" fontId="5" fillId="0" borderId="0" pivotButton="0" quotePrefix="0" xfId="0"/>
    <xf numFmtId="0" fontId="8" fillId="4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0" fillId="6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Downside: revenue and EBITDA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'Downside'!A14</f>
            </strRef>
          </tx>
          <spPr>
            <a:ln>
              <a:prstDash val="solid"/>
            </a:ln>
          </spPr>
          <cat>
            <numRef>
              <f>'Downside'!$B$4:$H$4</f>
            </numRef>
          </cat>
          <val>
            <numRef>
              <f>'Downside'!$B$14:$H$14</f>
            </numRef>
          </val>
        </ser>
        <ser>
          <idx val="1"/>
          <order val="1"/>
          <tx>
            <strRef>
              <f>'Downside'!A20</f>
            </strRef>
          </tx>
          <spPr>
            <a:ln>
              <a:prstDash val="solid"/>
            </a:ln>
          </spPr>
          <cat>
            <numRef>
              <f>'Downside'!$B$4:$H$4</f>
            </numRef>
          </cat>
          <val>
            <numRef>
              <f>'Downside'!$B$20:$H$20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Base: revenue and EBITDA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'Base'!A14</f>
            </strRef>
          </tx>
          <spPr>
            <a:ln>
              <a:prstDash val="solid"/>
            </a:ln>
          </spPr>
          <cat>
            <numRef>
              <f>'Base'!$B$4:$H$4</f>
            </numRef>
          </cat>
          <val>
            <numRef>
              <f>'Base'!$B$14:$H$14</f>
            </numRef>
          </val>
        </ser>
        <ser>
          <idx val="1"/>
          <order val="1"/>
          <tx>
            <strRef>
              <f>'Base'!A20</f>
            </strRef>
          </tx>
          <spPr>
            <a:ln>
              <a:prstDash val="solid"/>
            </a:ln>
          </spPr>
          <cat>
            <numRef>
              <f>'Base'!$B$4:$H$4</f>
            </numRef>
          </cat>
          <val>
            <numRef>
              <f>'Base'!$B$20:$H$20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Upside: revenue and EBITDA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'Upside'!A14</f>
            </strRef>
          </tx>
          <spPr>
            <a:ln>
              <a:prstDash val="solid"/>
            </a:ln>
          </spPr>
          <cat>
            <numRef>
              <f>'Upside'!$B$4:$H$4</f>
            </numRef>
          </cat>
          <val>
            <numRef>
              <f>'Upside'!$B$14:$H$14</f>
            </numRef>
          </val>
        </ser>
        <ser>
          <idx val="1"/>
          <order val="1"/>
          <tx>
            <strRef>
              <f>'Upside'!A20</f>
            </strRef>
          </tx>
          <spPr>
            <a:ln>
              <a:prstDash val="solid"/>
            </a:ln>
          </spPr>
          <cat>
            <numRef>
              <f>'Upside'!$B$4:$H$4</f>
            </numRef>
          </cat>
          <val>
            <numRef>
              <f>'Upside'!$B$20:$H$20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Seed round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'Use of funds'!$A$5:$A$11</f>
            </numRef>
          </cat>
          <val>
            <numRef>
              <f>'Use of funds'!$B$5:$B$11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Series 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'Use of funds'!$A$27:$A$33</f>
            </numRef>
          </cat>
          <val>
            <numRef>
              <f>'Use of funds'!$B$27:$B$33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24</row>
      <rowOff>0</rowOff>
    </from>
    <ext cx="540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29" t="inlineStr">
        <is>
          <t>scoup.ai — financial model provenance review</t>
        </is>
      </c>
    </row>
    <row r="2" ht="44" customHeight="1">
      <c r="A2" s="30" t="inlineStr">
        <is>
          <t>NOT APPROVED FOR EXTERNAL USE. This workbook is a planning scenario, not an audited result, actual forecast, or owner-approved source of truth. Company inputs and projections remain assumptions.</t>
        </is>
      </c>
    </row>
    <row r="3">
      <c r="B3" s="33" t="n"/>
    </row>
    <row r="4" ht="34" customHeight="1">
      <c r="A4" s="31" t="inlineStr">
        <is>
          <t>Review date</t>
        </is>
      </c>
      <c r="B4" s="32" t="inlineStr">
        <is>
          <t>2026-10-19. Scope: source/caveat review; existing numeric inputs and formulas are preserved.</t>
        </is>
      </c>
    </row>
    <row r="5" ht="48" customHeight="1">
      <c r="A5" s="31" t="inlineStr">
        <is>
          <t>Calculation status</t>
        </is>
      </c>
      <c r="B5" s="32" t="inlineStr">
        <is>
          <t>Recalculated 2026-10-22 with the Python formulas engine (no Excel or LibreOffice on this machine); Excel recalculates on open. Financing!B4:D8 use MATCH(TRUE,INDEX(...)), which that engine cannot evaluate; recomputed in business/tools/recalc_model.py instead.</t>
        </is>
      </c>
    </row>
    <row r="6" ht="34" customHeight="1">
      <c r="A6" s="31" t="inlineStr">
        <is>
          <t>Model authority</t>
        </is>
      </c>
      <c r="B6" s="32" t="inlineStr">
        <is>
          <t>No model was designated by the owner. This workbook conflicts with a separate local model. Select one model and reconcile before any investor or planning use.</t>
        </is>
      </c>
    </row>
    <row r="7" ht="48" customHeight="1">
      <c r="A7" s="31" t="inlineStr">
        <is>
          <t>Primary source: FMC</t>
        </is>
      </c>
      <c r="B7" s="32" t="inlineStr">
        <is>
          <t>Nine carriers reported roughly $15.4B of D&amp;D collected from 2020-04-01 through 2025-03-31. This is historical collected charges, not recoverable market spend. https://www.fmc.gov/detention-and-demurrage/</t>
        </is>
      </c>
    </row>
    <row r="8" ht="34" customHeight="1">
      <c r="A8" s="31" t="inlineStr">
        <is>
          <t>Primary source: eCFR</t>
        </is>
      </c>
      <c r="B8" s="32" t="inlineStr">
        <is>
          <t>46 CFR Part 541 current through 2026-10-15; §541.4 reserved; see §§541.5–541.8. https://www.ecfr.gov/current/title-46/chapter-IV/subchapter-B/part-541</t>
        </is>
      </c>
    </row>
    <row r="9" ht="48" customHeight="1">
      <c r="A9" s="31" t="inlineStr">
        <is>
          <t>Primary source: ATRI</t>
        </is>
      </c>
      <c r="B9" s="32" t="inlineStr">
        <is>
          <t>The 2023 detention study estimates $15.1B cost of waiting; it is not a recovery pool. https://truckingresearch.org/2024/09/new-research-documents-substantial-financial-and-safety-impacts-from-truck-driver-detention/</t>
        </is>
      </c>
    </row>
    <row r="10" ht="48" customHeight="1">
      <c r="A10" s="31" t="inlineStr">
        <is>
          <t>Assumptions</t>
        </is>
      </c>
      <c r="B10" s="32" t="inlineStr">
        <is>
          <t>Recovery rate, fees, account counts, margins, CAC, churn, use of funds, round sizes, valuation and runway are planning assumptions unless individually sourced; none is a measured company result.</t>
        </is>
      </c>
    </row>
    <row r="11" ht="48" customHeight="1">
      <c r="A11" s="31" t="inlineStr">
        <is>
          <t>Internal benchmarks</t>
        </is>
      </c>
      <c r="B11" s="32" t="inlineStr">
        <is>
          <t>Model inputs that rely on charge classification, forecast performance or simulated invoice recovery remain unverified. Internal records conflict on 145/159 versus 158/159 classifier names.</t>
        </is>
      </c>
    </row>
    <row r="12" ht="34" customHeight="1">
      <c r="A12" s="31" t="inlineStr">
        <is>
          <t>Full ledger and customer-value review</t>
        </is>
      </c>
      <c r="B12" s="32" t="inlineStr">
        <is>
          <t>See repository file _launch/02-data-provenance.md for source dates, limits, itemized PDF claims, and remaining release blockers. Customer-value scenarios in this workbook are unvalidated assumptions, not observed customer results.</t>
        </is>
      </c>
    </row>
    <row r="13" ht="34" customHeight="1">
      <c r="A13" s="31" t="inlineStr">
        <is>
          <t>Change scope</t>
        </is>
      </c>
      <c r="B13" s="32" t="inlineStr">
        <is>
          <t>This review sheet and source links were added. Existing model values/formulas were not edited. Recalculate and reconcile before external use.</t>
        </is>
      </c>
    </row>
    <row r="14">
      <c r="A14" t="inlineStr">
        <is>
          <t>Customer-value scenario inputs</t>
        </is>
      </c>
      <c r="B14" s="33" t="inlineStr">
        <is>
          <t>Customer value sheet B4:B12/C4:C12 contains hardcoded scenario amounts ($56,400, $7,540, $12,670, $16,000, $240,000, and $36,000). No customer files, observed recovery outcomes, or owner-approved method support these figures in the reviewed materials. Treat them as unvalidated assumptions; do not present as customer value or actual results.</t>
        </is>
      </c>
    </row>
    <row r="15">
      <c r="A15" t="inlineStr">
        <is>
          <t>Untraced denominator</t>
        </is>
      </c>
      <c r="B15" s="33" t="inlineStr">
        <is>
          <t>Customer value!C10 uses 25.66M U.S. imports/TEU without a traceable source, date, geography/method definition, or reproducible calculation in the reviewed workbook. Do not use as a sourced fact until reconciled.</t>
        </is>
      </c>
    </row>
    <row r="16">
      <c r="A16" t="inlineStr">
        <is>
          <t>Formula preservation</t>
        </is>
      </c>
      <c r="B16" s="33" t="inlineStr">
        <is>
          <t>Source-review changes only. Original model inputs and formulas were not altered. The 867 formula cells have no cached results and must be recalculated and reconciled before any reliance.</t>
        </is>
      </c>
    </row>
    <row r="17">
      <c r="A17" t="inlineStr">
        <is>
          <t>2026-10-22 update</t>
        </is>
      </c>
      <c r="B17" t="inlineStr">
        <is>
          <t>Sourced inputs re-verified; a Sources (verified) sheet maps cells to source, URL and dates. Recalculated outside Excel with business/tools/recalc_model.py: base Y5 revenue $7.30M, Y5 ARR $9.03M, Y7 ARR $18.63M. Customer value B10/B11 now use a sourced TEU denominator. Assumptions!B14 ($52K in year 1) still rests on the old $36K D&amp;D figure; the sourced figure gives about $32.9K, so B14 would be about $48.9K. Left for the owner to decide.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scoup.ai  |  Financial model</t>
        </is>
      </c>
    </row>
    <row r="3">
      <c r="A3" s="2" t="inlineStr">
        <is>
          <t>Seven-year operating plan and financing requirement, three scenarios. Pre-revenue company: plan figures, not results.</t>
        </is>
      </c>
    </row>
    <row r="5">
      <c r="A5" s="3" t="inlineStr">
        <is>
          <t>How to read this workbook</t>
        </is>
      </c>
    </row>
    <row r="6">
      <c r="A6" s="2" t="inlineStr">
        <is>
          <t>Blue numbers are inputs. Black numbers are formulas. Change an input and every sheet updates.</t>
        </is>
      </c>
    </row>
    <row r="7">
      <c r="A7" s="2" t="inlineStr">
        <is>
          <t>Each input has a source and a grade: A = primary source; B = reputable secondary source; C = estimate or company assumption.</t>
        </is>
      </c>
    </row>
    <row r="8">
      <c r="A8" s="2" t="inlineStr">
        <is>
          <t>Years are 12-month periods from the seed close. All amounts in US dollars.</t>
        </is>
      </c>
    </row>
    <row r="9">
      <c r="A9" s="2" t="inlineStr"/>
    </row>
    <row r="10">
      <c r="A10" s="3" t="inlineStr">
        <is>
          <t>Sheets</t>
        </is>
      </c>
    </row>
    <row r="11">
      <c r="A11" s="2" t="inlineStr">
        <is>
          <t>Assumptions  -  global inputs, revenue per account build, headcount plan and operating costs</t>
        </is>
      </c>
    </row>
    <row r="12">
      <c r="A12" s="2" t="inlineStr">
        <is>
          <t>Base, Upside, Downside  -  accounts, revenue, gross profit, costs, EBITDA, sales cost per $1 of new ARR</t>
        </is>
      </c>
    </row>
    <row r="13">
      <c r="A13" s="2" t="inlineStr">
        <is>
          <t>Monthly  -  month-by-month ARR and EBITDA used to size the rounds</t>
        </is>
      </c>
    </row>
    <row r="14">
      <c r="A14" s="2" t="inlineStr">
        <is>
          <t>Financing  -  round sizes, timing and the downside cost response</t>
        </is>
      </c>
    </row>
    <row r="15">
      <c r="A15" s="2" t="inlineStr">
        <is>
          <t>Use of funds  -  how the seed and the Series A are spent, by function</t>
        </is>
      </c>
    </row>
    <row r="16">
      <c r="A16" s="2" t="inlineStr">
        <is>
          <t>Unit economics  -  revenue per account, margin, retention, acquisition cost</t>
        </is>
      </c>
    </row>
    <row r="17">
      <c r="A17" s="2" t="inlineStr">
        <is>
          <t>Customer value  -  what a typical customer recovers, with sources</t>
        </is>
      </c>
    </row>
    <row r="18">
      <c r="A18" s="2" t="inlineStr">
        <is>
          <t>Competitors  -  funding and financials of comparable companies</t>
        </is>
      </c>
    </row>
    <row r="19">
      <c r="A19" s="2" t="inlineStr">
        <is>
          <t>Sources  -  external figures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0" customWidth="1" min="11" max="11"/>
  </cols>
  <sheetData>
    <row r="1">
      <c r="A1" s="1" t="inlineStr">
        <is>
          <t>Assumptions</t>
        </is>
      </c>
    </row>
    <row r="3">
      <c r="A3" s="4" t="inlineStr">
        <is>
          <t>Global input</t>
        </is>
      </c>
      <c r="B3" s="5" t="inlineStr">
        <is>
          <t>Value</t>
        </is>
      </c>
      <c r="C3" s="5" t="inlineStr">
        <is>
          <t>Source / grade</t>
        </is>
      </c>
    </row>
    <row r="4">
      <c r="A4" s="2" t="inlineStr">
        <is>
          <t>Compensation inflation per year</t>
        </is>
      </c>
      <c r="B4" s="6" t="n">
        <v>0.04</v>
      </c>
      <c r="C4" s="7" t="inlineStr">
        <is>
          <t>Planning assumption (C)</t>
        </is>
      </c>
    </row>
    <row r="5">
      <c r="A5" s="2" t="inlineStr">
        <is>
          <t>Series A ARR milestone ($M)</t>
        </is>
      </c>
      <c r="B5" s="8" t="n">
        <v>2.5</v>
      </c>
      <c r="C5" s="7" t="inlineStr">
        <is>
          <t>Carta: median ARR at Series A was $2.8M in 2025, up from $2.3M in 2024 (B, carta.com/data; accessed 2026-10-22). Input kept at $2.5M as a planning choice (C)</t>
        </is>
      </c>
    </row>
    <row r="6">
      <c r="A6" s="2" t="inlineStr">
        <is>
          <t>Cash buffer on each round</t>
        </is>
      </c>
      <c r="B6" s="6" t="n">
        <v>0.2</v>
      </c>
      <c r="C6" s="7" t="inlineStr">
        <is>
          <t>Planning assumption (C)</t>
        </is>
      </c>
    </row>
    <row r="7">
      <c r="A7" s="2" t="inlineStr">
        <is>
          <t>Months to close the next round after the milestone</t>
        </is>
      </c>
      <c r="B7" s="9" t="n">
        <v>6</v>
      </c>
      <c r="C7" s="7" t="inlineStr">
        <is>
          <t>Planning assumption (C)</t>
        </is>
      </c>
    </row>
    <row r="8">
      <c r="A8" s="2" t="inlineStr">
        <is>
          <t>Series A runway (months)</t>
        </is>
      </c>
      <c r="B8" s="9" t="n">
        <v>30</v>
      </c>
      <c r="C8" s="7" t="inlineStr">
        <is>
          <t>Common norm 24-30 months (C)</t>
        </is>
      </c>
    </row>
    <row r="9">
      <c r="A9" s="2" t="inlineStr">
        <is>
          <t>NOK per USD (planning rate)</t>
        </is>
      </c>
      <c r="B9" s="10" t="n">
        <v>10.5</v>
      </c>
      <c r="C9" s="7" t="inlineStr">
        <is>
          <t>Assumption (C)</t>
        </is>
      </c>
    </row>
    <row r="11">
      <c r="A11" s="3" t="inlineStr">
        <is>
          <t>Revenue per account, base case ($K per year)</t>
        </is>
      </c>
    </row>
    <row r="12">
      <c r="A12" s="4" t="inlineStr">
        <is>
          <t>Component</t>
        </is>
      </c>
      <c r="B12" s="5" t="inlineStr">
        <is>
          <t>Y1</t>
        </is>
      </c>
      <c r="C12" s="5" t="inlineStr">
        <is>
          <t>Y2</t>
        </is>
      </c>
      <c r="D12" s="5" t="inlineStr">
        <is>
          <t>Y3</t>
        </is>
      </c>
      <c r="E12" s="5" t="inlineStr">
        <is>
          <t>Y4</t>
        </is>
      </c>
      <c r="F12" s="5" t="inlineStr">
        <is>
          <t>Y5</t>
        </is>
      </c>
      <c r="G12" s="5" t="inlineStr">
        <is>
          <t>Y6</t>
        </is>
      </c>
      <c r="H12" s="5" t="inlineStr">
        <is>
          <t>Y7</t>
        </is>
      </c>
      <c r="I12" s="5" t="inlineStr">
        <is>
          <t>Basis / grade</t>
        </is>
      </c>
    </row>
    <row r="13">
      <c r="A13" s="2" t="inlineStr">
        <is>
          <t>Platform fee ($K/yr)</t>
        </is>
      </c>
      <c r="B13" s="11" t="n">
        <v>0</v>
      </c>
      <c r="C13" s="11" t="n">
        <v>6</v>
      </c>
      <c r="D13" s="11" t="n">
        <v>10</v>
      </c>
      <c r="E13" s="11" t="n">
        <v>13</v>
      </c>
      <c r="F13" s="11" t="n">
        <v>15</v>
      </c>
      <c r="G13" s="11" t="n">
        <v>16</v>
      </c>
      <c r="H13" s="11" t="n">
        <v>17</v>
      </c>
      <c r="I13" s="7" t="inlineStr">
        <is>
          <t>Platform fee from year 2 (C)</t>
        </is>
      </c>
    </row>
    <row r="14">
      <c r="A14" s="2" t="inlineStr">
        <is>
          <t>Amount recovered per account ($K/yr)</t>
        </is>
      </c>
      <c r="B14" s="11" t="n">
        <v>52</v>
      </c>
      <c r="C14" s="11" t="n">
        <v>70</v>
      </c>
      <c r="D14" s="11" t="n">
        <v>85</v>
      </c>
      <c r="E14" s="11" t="n">
        <v>95</v>
      </c>
      <c r="F14" s="11" t="n">
        <v>105</v>
      </c>
      <c r="G14" s="11" t="n">
        <v>110</v>
      </c>
      <c r="H14" s="11" t="n">
        <v>115</v>
      </c>
      <c r="I14" s="7" t="inlineStr">
        <is>
          <t>Year 1: ~$52K for a mid-size importer-shipper (business case, our analysis); grows as modules are added (C)</t>
        </is>
      </c>
    </row>
    <row r="15">
      <c r="A15" s="2" t="inlineStr">
        <is>
          <t>Recovery share</t>
        </is>
      </c>
      <c r="B15" s="6" t="n">
        <v>0.25</v>
      </c>
      <c r="C15" s="6" t="n">
        <v>0.17</v>
      </c>
      <c r="D15" s="6" t="n">
        <v>0.14</v>
      </c>
      <c r="E15" s="6" t="n">
        <v>0.12</v>
      </c>
      <c r="F15" s="6" t="n">
        <v>0.12</v>
      </c>
      <c r="G15" s="6" t="n">
        <v>0.12</v>
      </c>
      <c r="H15" s="6" t="n">
        <v>0.12</v>
      </c>
      <c r="I15" s="7" t="inlineStr">
        <is>
          <t>25% in pilots, 12% with the platform fee (C). Published parcel-refund pricing: Refund Retriever 50%/45%/40% of refunds by volume band (A, refundretriever.com/pricing, accessed 2026-10-22)</t>
        </is>
      </c>
    </row>
    <row r="16">
      <c r="A16" s="12" t="inlineStr">
        <is>
          <t>Revenue per account, base ($K)</t>
        </is>
      </c>
      <c r="B16" s="13">
        <f>ROUND(B13+B14*B15,1)</f>
        <v/>
      </c>
      <c r="C16" s="13">
        <f>ROUND(C13+C14*C15,1)</f>
        <v/>
      </c>
      <c r="D16" s="13">
        <f>ROUND(D13+D14*D15,1)</f>
        <v/>
      </c>
      <c r="E16" s="13">
        <f>ROUND(E13+E14*E15,1)</f>
        <v/>
      </c>
      <c r="F16" s="13">
        <f>ROUND(F13+F14*F15,1)</f>
        <v/>
      </c>
      <c r="G16" s="13">
        <f>ROUND(G13+G14*G15,1)</f>
        <v/>
      </c>
      <c r="H16" s="13">
        <f>ROUND(H13+H14*H15,1)</f>
        <v/>
      </c>
    </row>
    <row r="18">
      <c r="A18" s="3" t="inlineStr">
        <is>
          <t>Headcount plan (base case, people at year end) and loaded cost</t>
        </is>
      </c>
    </row>
    <row r="19">
      <c r="A19" s="4" t="inlineStr">
        <is>
          <t>Role</t>
        </is>
      </c>
      <c r="B19" s="5" t="inlineStr">
        <is>
          <t>Location</t>
        </is>
      </c>
      <c r="C19" s="5" t="inlineStr">
        <is>
          <t>Loaded cost $K/yr</t>
        </is>
      </c>
      <c r="D19" s="5" t="inlineStr">
        <is>
          <t>Y1</t>
        </is>
      </c>
      <c r="E19" s="5" t="inlineStr">
        <is>
          <t>Y2</t>
        </is>
      </c>
      <c r="F19" s="5" t="inlineStr">
        <is>
          <t>Y3</t>
        </is>
      </c>
      <c r="G19" s="5" t="inlineStr">
        <is>
          <t>Y4</t>
        </is>
      </c>
      <c r="H19" s="5" t="inlineStr">
        <is>
          <t>Y5</t>
        </is>
      </c>
      <c r="I19" s="5" t="inlineStr">
        <is>
          <t>Y6</t>
        </is>
      </c>
      <c r="J19" s="5" t="inlineStr">
        <is>
          <t>Y7</t>
        </is>
      </c>
      <c r="K19" s="5" t="inlineStr">
        <is>
          <t>Basis / grade</t>
        </is>
      </c>
    </row>
    <row r="20">
      <c r="A20" s="2" t="inlineStr">
        <is>
          <t>Founder / CEO</t>
        </is>
      </c>
      <c r="B20" s="2" t="inlineStr">
        <is>
          <t>NO</t>
        </is>
      </c>
      <c r="C20" s="14" t="n">
        <v>140</v>
      </c>
      <c r="D20" s="14" t="n">
        <v>1</v>
      </c>
      <c r="E20" s="14" t="n">
        <v>1</v>
      </c>
      <c r="F20" s="14" t="n">
        <v>1</v>
      </c>
      <c r="G20" s="14" t="n">
        <v>1</v>
      </c>
      <c r="H20" s="14" t="n">
        <v>1</v>
      </c>
      <c r="I20" s="14" t="n">
        <v>1</v>
      </c>
      <c r="J20" s="14" t="n">
        <v>1</v>
      </c>
      <c r="K20" s="7" t="inlineStr">
        <is>
          <t>Founder salary held below market until Series A (C)</t>
        </is>
      </c>
    </row>
    <row r="21">
      <c r="A21" s="2" t="inlineStr">
        <is>
          <t>Software engineers</t>
        </is>
      </c>
      <c r="B21" s="2" t="inlineStr">
        <is>
          <t>NO</t>
        </is>
      </c>
      <c r="C21" s="14" t="n">
        <v>115</v>
      </c>
      <c r="D21" s="14" t="n">
        <v>2</v>
      </c>
      <c r="E21" s="14" t="n">
        <v>3</v>
      </c>
      <c r="F21" s="14" t="n">
        <v>5</v>
      </c>
      <c r="G21" s="14" t="n">
        <v>8</v>
      </c>
      <c r="H21" s="14" t="n">
        <v>10</v>
      </c>
      <c r="I21" s="14" t="n">
        <v>12</v>
      </c>
      <c r="J21" s="14" t="n">
        <v>13</v>
      </c>
      <c r="K21" s="7" t="inlineStr">
        <is>
          <t>SSB ICT pay NOK ~969K x 1.22 (A/C)</t>
        </is>
      </c>
    </row>
    <row r="22">
      <c r="A22" s="2" t="inlineStr">
        <is>
          <t>ML / data engineers</t>
        </is>
      </c>
      <c r="B22" s="2" t="inlineStr">
        <is>
          <t>NO</t>
        </is>
      </c>
      <c r="C22" s="14" t="n">
        <v>125</v>
      </c>
      <c r="D22" s="14" t="n">
        <v>1</v>
      </c>
      <c r="E22" s="14" t="n">
        <v>1</v>
      </c>
      <c r="F22" s="14" t="n">
        <v>2</v>
      </c>
      <c r="G22" s="14" t="n">
        <v>3</v>
      </c>
      <c r="H22" s="14" t="n">
        <v>3</v>
      </c>
      <c r="I22" s="14" t="n">
        <v>4</v>
      </c>
      <c r="J22" s="14" t="n">
        <v>4</v>
      </c>
      <c r="K22" s="7" t="inlineStr">
        <is>
          <t>SSB ICT pay, upper range, x 1.22 (A/C)</t>
        </is>
      </c>
    </row>
    <row r="23">
      <c r="A23" s="2" t="inlineStr">
        <is>
          <t>Security engineer</t>
        </is>
      </c>
      <c r="B23" s="2" t="inlineStr">
        <is>
          <t>NO</t>
        </is>
      </c>
      <c r="C23" s="14" t="n">
        <v>125</v>
      </c>
      <c r="D23" s="14" t="n">
        <v>1</v>
      </c>
      <c r="E23" s="14" t="n">
        <v>1</v>
      </c>
      <c r="F23" s="14" t="n">
        <v>1</v>
      </c>
      <c r="G23" s="14" t="n">
        <v>2</v>
      </c>
      <c r="H23" s="14" t="n">
        <v>2</v>
      </c>
      <c r="I23" s="14" t="n">
        <v>3</v>
      </c>
      <c r="J23" s="14" t="n">
        <v>3</v>
      </c>
      <c r="K23" s="7" t="inlineStr">
        <is>
          <t>SSB ICT pay x 1.22; BLS infosec median $129K for US comparison (A)</t>
        </is>
      </c>
    </row>
    <row r="24">
      <c r="A24" s="2" t="inlineStr">
        <is>
          <t>Account executives (US)</t>
        </is>
      </c>
      <c r="B24" s="2" t="inlineStr">
        <is>
          <t>US</t>
        </is>
      </c>
      <c r="C24" s="14" t="n">
        <v>230</v>
      </c>
      <c r="D24" s="14" t="n">
        <v>0</v>
      </c>
      <c r="E24" s="14" t="n">
        <v>1</v>
      </c>
      <c r="F24" s="14" t="n">
        <v>3</v>
      </c>
      <c r="G24" s="14" t="n">
        <v>5</v>
      </c>
      <c r="H24" s="14" t="n">
        <v>7</v>
      </c>
      <c r="I24" s="14" t="n">
        <v>8</v>
      </c>
      <c r="J24" s="14" t="n">
        <v>9</v>
      </c>
      <c r="K24" s="7" t="inlineStr">
        <is>
          <t>BLS technical sales base $105K, on-target earnings ~2x base, loaded (A/C)</t>
        </is>
      </c>
    </row>
    <row r="25">
      <c r="A25" s="2" t="inlineStr">
        <is>
          <t>Sales engineer (US)</t>
        </is>
      </c>
      <c r="B25" s="2" t="inlineStr">
        <is>
          <t>US</t>
        </is>
      </c>
      <c r="C25" s="14" t="n">
        <v>175</v>
      </c>
      <c r="D25" s="14" t="n">
        <v>0</v>
      </c>
      <c r="E25" s="14" t="n">
        <v>1</v>
      </c>
      <c r="F25" s="14" t="n">
        <v>1</v>
      </c>
      <c r="G25" s="14" t="n">
        <v>2</v>
      </c>
      <c r="H25" s="14" t="n">
        <v>2</v>
      </c>
      <c r="I25" s="14" t="n">
        <v>3</v>
      </c>
      <c r="J25" s="14" t="n">
        <v>3</v>
      </c>
      <c r="K25" s="7" t="inlineStr">
        <is>
          <t>BLS sales engineer median $125K x 1.43 (A)</t>
        </is>
      </c>
    </row>
    <row r="26">
      <c r="A26" s="2" t="inlineStr">
        <is>
          <t>Claims analysts / customer success (US)</t>
        </is>
      </c>
      <c r="B26" s="2" t="inlineStr">
        <is>
          <t>US</t>
        </is>
      </c>
      <c r="C26" s="14" t="n">
        <v>100</v>
      </c>
      <c r="D26" s="14" t="n">
        <v>1</v>
      </c>
      <c r="E26" s="14" t="n">
        <v>2</v>
      </c>
      <c r="F26" s="14" t="n">
        <v>4</v>
      </c>
      <c r="G26" s="14" t="n">
        <v>7</v>
      </c>
      <c r="H26" s="14" t="n">
        <v>10</v>
      </c>
      <c r="I26" s="14" t="n">
        <v>13</v>
      </c>
      <c r="J26" s="14" t="n">
        <v>16</v>
      </c>
      <c r="K26" s="7" t="inlineStr">
        <is>
          <t>Analyst base ~$70K x 1.43 (C)</t>
        </is>
      </c>
    </row>
    <row r="27">
      <c r="A27" s="2" t="inlineStr">
        <is>
          <t>Marketing (US)</t>
        </is>
      </c>
      <c r="B27" s="2" t="inlineStr">
        <is>
          <t>US</t>
        </is>
      </c>
      <c r="C27" s="14" t="n">
        <v>150</v>
      </c>
      <c r="D27" s="14" t="n">
        <v>0</v>
      </c>
      <c r="E27" s="14" t="n">
        <v>0</v>
      </c>
      <c r="F27" s="14" t="n">
        <v>1</v>
      </c>
      <c r="G27" s="14" t="n">
        <v>1</v>
      </c>
      <c r="H27" s="14" t="n">
        <v>2</v>
      </c>
      <c r="I27" s="14" t="n">
        <v>2</v>
      </c>
      <c r="J27" s="14" t="n">
        <v>2</v>
      </c>
      <c r="K27" s="7" t="inlineStr">
        <is>
          <t>Estimate (C)</t>
        </is>
      </c>
    </row>
    <row r="28">
      <c r="A28" s="2" t="inlineStr">
        <is>
          <t>Finance, legal operations, people</t>
        </is>
      </c>
      <c r="B28" s="2" t="inlineStr">
        <is>
          <t>NO</t>
        </is>
      </c>
      <c r="C28" s="14" t="n">
        <v>130</v>
      </c>
      <c r="D28" s="14" t="n">
        <v>0</v>
      </c>
      <c r="E28" s="14" t="n">
        <v>1</v>
      </c>
      <c r="F28" s="14" t="n">
        <v>1</v>
      </c>
      <c r="G28" s="14" t="n">
        <v>2</v>
      </c>
      <c r="H28" s="14" t="n">
        <v>2</v>
      </c>
      <c r="I28" s="14" t="n">
        <v>3</v>
      </c>
      <c r="J28" s="14" t="n">
        <v>3</v>
      </c>
      <c r="K28" s="7" t="inlineStr">
        <is>
          <t>SSB pay x 1.22 (A/C)</t>
        </is>
      </c>
    </row>
    <row r="30">
      <c r="A30" s="3" t="inlineStr">
        <is>
          <t>Other operating costs (base case, $K per year)</t>
        </is>
      </c>
    </row>
    <row r="31">
      <c r="A31" s="4" t="inlineStr">
        <is>
          <t>Item</t>
        </is>
      </c>
      <c r="B31" s="5" t="inlineStr"/>
      <c r="C31" s="5" t="inlineStr"/>
      <c r="D31" s="5" t="inlineStr">
        <is>
          <t>Y1</t>
        </is>
      </c>
      <c r="E31" s="5" t="inlineStr">
        <is>
          <t>Y2</t>
        </is>
      </c>
      <c r="F31" s="5" t="inlineStr">
        <is>
          <t>Y3</t>
        </is>
      </c>
      <c r="G31" s="5" t="inlineStr">
        <is>
          <t>Y4</t>
        </is>
      </c>
      <c r="H31" s="5" t="inlineStr">
        <is>
          <t>Y5</t>
        </is>
      </c>
      <c r="I31" s="5" t="inlineStr">
        <is>
          <t>Y6</t>
        </is>
      </c>
      <c r="J31" s="5" t="inlineStr">
        <is>
          <t>Y7</t>
        </is>
      </c>
      <c r="K31" s="5" t="inlineStr">
        <is>
          <t>Basis / grade</t>
        </is>
      </c>
    </row>
    <row r="32">
      <c r="A32" s="2" t="inlineStr">
        <is>
          <t>Cloud hosting, data feeds and tooling</t>
        </is>
      </c>
      <c r="D32" s="14" t="n">
        <v>45</v>
      </c>
      <c r="E32" s="14" t="n">
        <v>80</v>
      </c>
      <c r="F32" s="14" t="n">
        <v>140</v>
      </c>
      <c r="G32" s="14" t="n">
        <v>220</v>
      </c>
      <c r="H32" s="14" t="n">
        <v>300</v>
      </c>
      <c r="I32" s="14" t="n">
        <v>370</v>
      </c>
      <c r="J32" s="14" t="n">
        <v>430</v>
      </c>
      <c r="K32" s="7" t="inlineStr">
        <is>
          <t>Terraform footprint + container-event data fees (C)</t>
        </is>
      </c>
    </row>
    <row r="33">
      <c r="A33" s="2" t="inlineStr">
        <is>
          <t>Security programme</t>
        </is>
      </c>
      <c r="D33" s="14" t="n">
        <v>120</v>
      </c>
      <c r="E33" s="14" t="n">
        <v>150</v>
      </c>
      <c r="F33" s="14" t="n">
        <v>170</v>
      </c>
      <c r="G33" s="14" t="n">
        <v>190</v>
      </c>
      <c r="H33" s="14" t="n">
        <v>210</v>
      </c>
      <c r="I33" s="14" t="n">
        <v>230</v>
      </c>
      <c r="J33" s="14" t="n">
        <v>250</v>
      </c>
      <c r="K33" s="7" t="inlineStr">
        <is>
          <t>SOC 2 Type II first year $50-110K, penetration tests $15-35K each (C), tooling, insurance (C)</t>
        </is>
      </c>
    </row>
    <row r="34">
      <c r="A34" s="2" t="inlineStr">
        <is>
          <t>Legal and regulatory</t>
        </is>
      </c>
      <c r="D34" s="14" t="n">
        <v>150</v>
      </c>
      <c r="E34" s="14" t="n">
        <v>110</v>
      </c>
      <c r="F34" s="14" t="n">
        <v>120</v>
      </c>
      <c r="G34" s="14" t="n">
        <v>140</v>
      </c>
      <c r="H34" s="14" t="n">
        <v>150</v>
      </c>
      <c r="I34" s="14" t="n">
        <v>160</v>
      </c>
      <c r="J34" s="14" t="n">
        <v>170</v>
      </c>
      <c r="K34" s="7" t="inlineStr">
        <is>
          <t>US entity, customer contracts, FMC and data-protection counsel (C)</t>
        </is>
      </c>
    </row>
    <row r="35">
      <c r="A35" s="2" t="inlineStr">
        <is>
          <t>Marketing programmes and events</t>
        </is>
      </c>
      <c r="D35" s="14" t="n">
        <v>30</v>
      </c>
      <c r="E35" s="14" t="n">
        <v>90</v>
      </c>
      <c r="F35" s="14" t="n">
        <v>200</v>
      </c>
      <c r="G35" s="14" t="n">
        <v>320</v>
      </c>
      <c r="H35" s="14" t="n">
        <v>420</v>
      </c>
      <c r="I35" s="14" t="n">
        <v>480</v>
      </c>
      <c r="J35" s="14" t="n">
        <v>520</v>
      </c>
      <c r="K35" s="7" t="inlineStr">
        <is>
          <t>Trade shows (TIA, CSCMP, TPM), content, list data (C)</t>
        </is>
      </c>
    </row>
    <row r="36">
      <c r="A36" s="2" t="inlineStr">
        <is>
          <t>Travel and customer visits</t>
        </is>
      </c>
      <c r="D36" s="14" t="n">
        <v>60</v>
      </c>
      <c r="E36" s="14" t="n">
        <v>100</v>
      </c>
      <c r="F36" s="14" t="n">
        <v>150</v>
      </c>
      <c r="G36" s="14" t="n">
        <v>200</v>
      </c>
      <c r="H36" s="14" t="n">
        <v>240</v>
      </c>
      <c r="I36" s="14" t="n">
        <v>270</v>
      </c>
      <c r="J36" s="14" t="n">
        <v>300</v>
      </c>
      <c r="K36" s="7" t="inlineStr">
        <is>
          <t>US customer and partner visits (C)</t>
        </is>
      </c>
    </row>
    <row r="37">
      <c r="A37" s="2" t="inlineStr">
        <is>
          <t>Office, software, admin, accounting</t>
        </is>
      </c>
      <c r="D37" s="14" t="n">
        <v>50</v>
      </c>
      <c r="E37" s="14" t="n">
        <v>80</v>
      </c>
      <c r="F37" s="14" t="n">
        <v>110</v>
      </c>
      <c r="G37" s="14" t="n">
        <v>150</v>
      </c>
      <c r="H37" s="14" t="n">
        <v>180</v>
      </c>
      <c r="I37" s="14" t="n">
        <v>210</v>
      </c>
      <c r="J37" s="14" t="n">
        <v>240</v>
      </c>
      <c r="K37" s="7" t="inlineStr">
        <is>
          <t>Estimate (C)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Downside case</t>
        </is>
      </c>
    </row>
    <row r="2">
      <c r="A2" s="7" t="inlineStr">
        <is>
          <t>Recovery per account is 20% lower than the base case, buyers insist on long security reviews, only shippers and importers convert, and the broker channel slips to year 4.</t>
        </is>
      </c>
    </row>
    <row r="4">
      <c r="A4" s="4" t="inlineStr">
        <is>
          <t>$M unless stated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Note</t>
        </is>
      </c>
    </row>
    <row r="5">
      <c r="A5" s="2" t="inlineStr">
        <is>
          <t>New accounts won</t>
        </is>
      </c>
      <c r="B5" s="11" t="n">
        <v>4</v>
      </c>
      <c r="C5" s="11" t="n">
        <v>16</v>
      </c>
      <c r="D5" s="11" t="n">
        <v>35</v>
      </c>
      <c r="E5" s="11" t="n">
        <v>55</v>
      </c>
      <c r="F5" s="11" t="n">
        <v>75</v>
      </c>
      <c r="G5" s="11" t="n">
        <v>90</v>
      </c>
      <c r="H5" s="11" t="n">
        <v>105</v>
      </c>
      <c r="I5" s="7" t="inlineStr">
        <is>
          <t>Plan input (C)</t>
        </is>
      </c>
    </row>
    <row r="6">
      <c r="A6" s="2" t="inlineStr">
        <is>
          <t>Annual account churn</t>
        </is>
      </c>
      <c r="B6" s="6" t="n">
        <v>0.3</v>
      </c>
      <c r="I6" s="7" t="inlineStr">
        <is>
          <t>Share of accounts at the start of a year lost during it (C); median gross revenue retention 88% (Benchmarkit, B)</t>
        </is>
      </c>
    </row>
    <row r="7">
      <c r="A7" s="2" t="inlineStr">
        <is>
          <t>Revenue per account vs base</t>
        </is>
      </c>
      <c r="B7" s="15" t="n">
        <v>0.8</v>
      </c>
    </row>
    <row r="8">
      <c r="A8" s="2" t="inlineStr">
        <is>
          <t>Cost scale vs base headcount and spend</t>
        </is>
      </c>
      <c r="B8" s="15" t="n">
        <v>0.85</v>
      </c>
    </row>
    <row r="9">
      <c r="A9" s="2" t="inlineStr">
        <is>
          <t>Accounts lost in year</t>
        </is>
      </c>
      <c r="B9" s="16">
        <f>0</f>
        <v/>
      </c>
      <c r="C9" s="16">
        <f>ROUND(B10*$B$6,0)</f>
        <v/>
      </c>
      <c r="D9" s="16">
        <f>ROUND(C10*$B$6,0)</f>
        <v/>
      </c>
      <c r="E9" s="16">
        <f>ROUND(D10*$B$6,0)</f>
        <v/>
      </c>
      <c r="F9" s="16">
        <f>ROUND(E10*$B$6,0)</f>
        <v/>
      </c>
      <c r="G9" s="16">
        <f>ROUND(F10*$B$6,0)</f>
        <v/>
      </c>
      <c r="H9" s="16">
        <f>ROUND(G10*$B$6,0)</f>
        <v/>
      </c>
    </row>
    <row r="10">
      <c r="A10" s="12" t="inlineStr">
        <is>
          <t>Paying accounts at year end</t>
        </is>
      </c>
      <c r="B10" s="17">
        <f>B5</f>
        <v/>
      </c>
      <c r="C10" s="17">
        <f>B10-C9+C5</f>
        <v/>
      </c>
      <c r="D10" s="17">
        <f>C10-D9+D5</f>
        <v/>
      </c>
      <c r="E10" s="17">
        <f>D10-E9+E5</f>
        <v/>
      </c>
      <c r="F10" s="17">
        <f>E10-F9+F5</f>
        <v/>
      </c>
      <c r="G10" s="17">
        <f>F10-G9+G5</f>
        <v/>
      </c>
      <c r="H10" s="17">
        <f>G10-H9+H5</f>
        <v/>
      </c>
    </row>
    <row r="11">
      <c r="A11" s="2" t="inlineStr">
        <is>
          <t>Revenue per account ($K)</t>
        </is>
      </c>
      <c r="B11" s="18">
        <f>Assumptions!B16*$B$7</f>
        <v/>
      </c>
      <c r="C11" s="18">
        <f>Assumptions!C16*$B$7</f>
        <v/>
      </c>
      <c r="D11" s="18">
        <f>Assumptions!D16*$B$7</f>
        <v/>
      </c>
      <c r="E11" s="18">
        <f>Assumptions!E16*$B$7</f>
        <v/>
      </c>
      <c r="F11" s="18">
        <f>Assumptions!F16*$B$7</f>
        <v/>
      </c>
      <c r="G11" s="18">
        <f>Assumptions!G16*$B$7</f>
        <v/>
      </c>
      <c r="H11" s="18">
        <f>Assumptions!H16*$B$7</f>
        <v/>
      </c>
    </row>
    <row r="12">
      <c r="A12" s="2" t="inlineStr">
        <is>
          <t>Gross margin</t>
        </is>
      </c>
      <c r="B12" s="6" t="n">
        <v>0.45</v>
      </c>
      <c r="C12" s="6" t="n">
        <v>0.52</v>
      </c>
      <c r="D12" s="6" t="n">
        <v>0.57</v>
      </c>
      <c r="E12" s="6" t="n">
        <v>0.6</v>
      </c>
      <c r="F12" s="6" t="n">
        <v>0.62</v>
      </c>
      <c r="G12" s="6" t="n">
        <v>0.64</v>
      </c>
      <c r="H12" s="6" t="n">
        <v>0.65</v>
      </c>
      <c r="I12" s="7" t="inlineStr">
        <is>
          <t>After hosting, data feeds and claim review labour (C)</t>
        </is>
      </c>
    </row>
    <row r="14">
      <c r="A14" s="12" t="inlineStr">
        <is>
          <t>Revenue</t>
        </is>
      </c>
      <c r="B14" s="19">
        <f>(0+B10)/2*B11/1000</f>
        <v/>
      </c>
      <c r="C14" s="19">
        <f>(B10+C10)/2*C11/1000</f>
        <v/>
      </c>
      <c r="D14" s="19">
        <f>(C10+D10)/2*D11/1000</f>
        <v/>
      </c>
      <c r="E14" s="19">
        <f>(D10+E10)/2*E11/1000</f>
        <v/>
      </c>
      <c r="F14" s="19">
        <f>(E10+F10)/2*F11/1000</f>
        <v/>
      </c>
      <c r="G14" s="19">
        <f>(F10+G10)/2*G11/1000</f>
        <v/>
      </c>
      <c r="H14" s="19">
        <f>(G10+H10)/2*H11/1000</f>
        <v/>
      </c>
    </row>
    <row r="15">
      <c r="A15" s="2" t="inlineStr">
        <is>
          <t>Cost of revenue</t>
        </is>
      </c>
      <c r="B15" s="20">
        <f>B14*(1-B12)</f>
        <v/>
      </c>
      <c r="C15" s="20">
        <f>C14*(1-C12)</f>
        <v/>
      </c>
      <c r="D15" s="20">
        <f>D14*(1-D12)</f>
        <v/>
      </c>
      <c r="E15" s="20">
        <f>E14*(1-E12)</f>
        <v/>
      </c>
      <c r="F15" s="20">
        <f>F14*(1-F12)</f>
        <v/>
      </c>
      <c r="G15" s="20">
        <f>G14*(1-G12)</f>
        <v/>
      </c>
      <c r="H15" s="20">
        <f>H14*(1-H12)</f>
        <v/>
      </c>
    </row>
    <row r="16">
      <c r="A16" s="12" t="inlineStr">
        <is>
          <t>Gross profit</t>
        </is>
      </c>
      <c r="B16" s="19">
        <f>B14-B15</f>
        <v/>
      </c>
      <c r="C16" s="19">
        <f>C14-C15</f>
        <v/>
      </c>
      <c r="D16" s="19">
        <f>D14-D15</f>
        <v/>
      </c>
      <c r="E16" s="19">
        <f>E14-E15</f>
        <v/>
      </c>
      <c r="F16" s="19">
        <f>F14-F15</f>
        <v/>
      </c>
      <c r="G16" s="19">
        <f>G14-G15</f>
        <v/>
      </c>
      <c r="H16" s="19">
        <f>H14-H15</f>
        <v/>
      </c>
    </row>
    <row r="17">
      <c r="A17" s="2" t="inlineStr">
        <is>
          <t>People costs</t>
        </is>
      </c>
      <c r="B17" s="20">
        <f>(Assumptions!D20*Assumptions!$C$20+(ROUND(Assumptions!D21*$B$8,0)*0.6)*Assumptions!$C$21+(ROUND(Assumptions!D22*$B$8,0)*0.6)*Assumptions!$C$22+(ROUND(Assumptions!D23*$B$8,0)*0.6)*Assumptions!$C$23+(ROUND(Assumptions!D24*$B$8,0)*0.6)*Assumptions!$C$24+(ROUND(Assumptions!D25*$B$8,0)*0.6)*Assumptions!$C$25+(ROUND(Assumptions!D26*$B$8,0)*0.6)*Assumptions!$C$26+(ROUND(Assumptions!D27*$B$8,0)*0.6)*Assumptions!$C$27+(ROUND(Assumptions!D28*$B$8,0)*0.6)*Assumptions!$C$28)*(1+Assumptions!$B$4)^0/1000</f>
        <v/>
      </c>
      <c r="C17" s="20">
        <f>(((Assumptions!D20+Assumptions!E20)/2)*Assumptions!$C$20+((ROUND(Assumptions!D21*$B$8,0)+ROUND(Assumptions!E21*$B$8,0))/2)*Assumptions!$C$21+((ROUND(Assumptions!D22*$B$8,0)+ROUND(Assumptions!E22*$B$8,0))/2)*Assumptions!$C$22+((ROUND(Assumptions!D23*$B$8,0)+ROUND(Assumptions!E23*$B$8,0))/2)*Assumptions!$C$23+((ROUND(Assumptions!D24*$B$8,0)+ROUND(Assumptions!E24*$B$8,0))/2)*Assumptions!$C$24+((ROUND(Assumptions!D25*$B$8,0)+ROUND(Assumptions!E25*$B$8,0))/2)*Assumptions!$C$25+((ROUND(Assumptions!D26*$B$8,0)+ROUND(Assumptions!E26*$B$8,0))/2)*Assumptions!$C$26+((ROUND(Assumptions!D27*$B$8,0)+ROUND(Assumptions!E27*$B$8,0))/2)*Assumptions!$C$27+((ROUND(Assumptions!D28*$B$8,0)+ROUND(Assumptions!E28*$B$8,0))/2)*Assumptions!$C$28)*(1+Assumptions!$B$4)^1/1000</f>
        <v/>
      </c>
      <c r="D17" s="20">
        <f>(((Assumptions!E20+Assumptions!F20)/2)*Assumptions!$C$20+((ROUND(Assumptions!E21*$B$8,0)+ROUND(Assumptions!F21*$B$8,0))/2)*Assumptions!$C$21+((ROUND(Assumptions!E22*$B$8,0)+ROUND(Assumptions!F22*$B$8,0))/2)*Assumptions!$C$22+((ROUND(Assumptions!E23*$B$8,0)+ROUND(Assumptions!F23*$B$8,0))/2)*Assumptions!$C$23+((ROUND(Assumptions!E24*$B$8,0)+ROUND(Assumptions!F24*$B$8,0))/2)*Assumptions!$C$24+((ROUND(Assumptions!E25*$B$8,0)+ROUND(Assumptions!F25*$B$8,0))/2)*Assumptions!$C$25+((ROUND(Assumptions!E26*$B$8,0)+ROUND(Assumptions!F26*$B$8,0))/2)*Assumptions!$C$26+((ROUND(Assumptions!E27*$B$8,0)+ROUND(Assumptions!F27*$B$8,0))/2)*Assumptions!$C$27+((ROUND(Assumptions!E28*$B$8,0)+ROUND(Assumptions!F28*$B$8,0))/2)*Assumptions!$C$28)*(1+Assumptions!$B$4)^2/1000</f>
        <v/>
      </c>
      <c r="E17" s="20">
        <f>(((Assumptions!F20+Assumptions!G20)/2)*Assumptions!$C$20+((ROUND(Assumptions!F21*$B$8,0)+ROUND(Assumptions!G21*$B$8,0))/2)*Assumptions!$C$21+((ROUND(Assumptions!F22*$B$8,0)+ROUND(Assumptions!G22*$B$8,0))/2)*Assumptions!$C$22+((ROUND(Assumptions!F23*$B$8,0)+ROUND(Assumptions!G23*$B$8,0))/2)*Assumptions!$C$23+((ROUND(Assumptions!F24*$B$8,0)+ROUND(Assumptions!G24*$B$8,0))/2)*Assumptions!$C$24+((ROUND(Assumptions!F25*$B$8,0)+ROUND(Assumptions!G25*$B$8,0))/2)*Assumptions!$C$25+((ROUND(Assumptions!F26*$B$8,0)+ROUND(Assumptions!G26*$B$8,0))/2)*Assumptions!$C$26+((ROUND(Assumptions!F27*$B$8,0)+ROUND(Assumptions!G27*$B$8,0))/2)*Assumptions!$C$27+((ROUND(Assumptions!F28*$B$8,0)+ROUND(Assumptions!G28*$B$8,0))/2)*Assumptions!$C$28)*(1+Assumptions!$B$4)^3/1000</f>
        <v/>
      </c>
      <c r="F17" s="20">
        <f>(((Assumptions!G20+Assumptions!H20)/2)*Assumptions!$C$20+((ROUND(Assumptions!G21*$B$8,0)+ROUND(Assumptions!H21*$B$8,0))/2)*Assumptions!$C$21+((ROUND(Assumptions!G22*$B$8,0)+ROUND(Assumptions!H22*$B$8,0))/2)*Assumptions!$C$22+((ROUND(Assumptions!G23*$B$8,0)+ROUND(Assumptions!H23*$B$8,0))/2)*Assumptions!$C$23+((ROUND(Assumptions!G24*$B$8,0)+ROUND(Assumptions!H24*$B$8,0))/2)*Assumptions!$C$24+((ROUND(Assumptions!G25*$B$8,0)+ROUND(Assumptions!H25*$B$8,0))/2)*Assumptions!$C$25+((ROUND(Assumptions!G26*$B$8,0)+ROUND(Assumptions!H26*$B$8,0))/2)*Assumptions!$C$26+((ROUND(Assumptions!G27*$B$8,0)+ROUND(Assumptions!H27*$B$8,0))/2)*Assumptions!$C$27+((ROUND(Assumptions!G28*$B$8,0)+ROUND(Assumptions!H28*$B$8,0))/2)*Assumptions!$C$28)*(1+Assumptions!$B$4)^4/1000</f>
        <v/>
      </c>
      <c r="G17" s="20">
        <f>(((Assumptions!H20+Assumptions!I20)/2)*Assumptions!$C$20+((ROUND(Assumptions!H21*$B$8,0)+ROUND(Assumptions!I21*$B$8,0))/2)*Assumptions!$C$21+((ROUND(Assumptions!H22*$B$8,0)+ROUND(Assumptions!I22*$B$8,0))/2)*Assumptions!$C$22+((ROUND(Assumptions!H23*$B$8,0)+ROUND(Assumptions!I23*$B$8,0))/2)*Assumptions!$C$23+((ROUND(Assumptions!H24*$B$8,0)+ROUND(Assumptions!I24*$B$8,0))/2)*Assumptions!$C$24+((ROUND(Assumptions!H25*$B$8,0)+ROUND(Assumptions!I25*$B$8,0))/2)*Assumptions!$C$25+((ROUND(Assumptions!H26*$B$8,0)+ROUND(Assumptions!I26*$B$8,0))/2)*Assumptions!$C$26+((ROUND(Assumptions!H27*$B$8,0)+ROUND(Assumptions!I27*$B$8,0))/2)*Assumptions!$C$27+((ROUND(Assumptions!H28*$B$8,0)+ROUND(Assumptions!I28*$B$8,0))/2)*Assumptions!$C$28)*(1+Assumptions!$B$4)^5/1000</f>
        <v/>
      </c>
      <c r="H17" s="20">
        <f>(((Assumptions!I20+Assumptions!J20)/2)*Assumptions!$C$20+((ROUND(Assumptions!I21*$B$8,0)+ROUND(Assumptions!J21*$B$8,0))/2)*Assumptions!$C$21+((ROUND(Assumptions!I22*$B$8,0)+ROUND(Assumptions!J22*$B$8,0))/2)*Assumptions!$C$22+((ROUND(Assumptions!I23*$B$8,0)+ROUND(Assumptions!J23*$B$8,0))/2)*Assumptions!$C$23+((ROUND(Assumptions!I24*$B$8,0)+ROUND(Assumptions!J24*$B$8,0))/2)*Assumptions!$C$24+((ROUND(Assumptions!I25*$B$8,0)+ROUND(Assumptions!J25*$B$8,0))/2)*Assumptions!$C$25+((ROUND(Assumptions!I26*$B$8,0)+ROUND(Assumptions!J26*$B$8,0))/2)*Assumptions!$C$26+((ROUND(Assumptions!I27*$B$8,0)+ROUND(Assumptions!J27*$B$8,0))/2)*Assumptions!$C$27+((ROUND(Assumptions!I28*$B$8,0)+ROUND(Assumptions!J28*$B$8,0))/2)*Assumptions!$C$28)*(1+Assumptions!$B$4)^6/1000</f>
        <v/>
      </c>
    </row>
    <row r="18">
      <c r="A18" s="2" t="inlineStr">
        <is>
          <t>Other operating costs</t>
        </is>
      </c>
      <c r="B18" s="20">
        <f>SUM(Assumptions!D32:D37)*1/1000</f>
        <v/>
      </c>
      <c r="C18" s="20">
        <f>SUM(Assumptions!E32:E37)*$B$8/1000</f>
        <v/>
      </c>
      <c r="D18" s="20">
        <f>SUM(Assumptions!F32:F37)*$B$8/1000</f>
        <v/>
      </c>
      <c r="E18" s="20">
        <f>SUM(Assumptions!G32:G37)*$B$8/1000</f>
        <v/>
      </c>
      <c r="F18" s="20">
        <f>SUM(Assumptions!H32:H37)*$B$8/1000</f>
        <v/>
      </c>
      <c r="G18" s="20">
        <f>SUM(Assumptions!I32:I37)*$B$8/1000</f>
        <v/>
      </c>
      <c r="H18" s="20">
        <f>SUM(Assumptions!J32:J37)*$B$8/1000</f>
        <v/>
      </c>
    </row>
    <row r="19">
      <c r="A19" s="12" t="inlineStr">
        <is>
          <t>Total operating costs</t>
        </is>
      </c>
      <c r="B19" s="19">
        <f>B17+B18</f>
        <v/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9">
        <f>G17+G18</f>
        <v/>
      </c>
      <c r="H19" s="19">
        <f>H17+H18</f>
        <v/>
      </c>
    </row>
    <row r="20">
      <c r="A20" s="12" t="inlineStr">
        <is>
          <t>EBITDA</t>
        </is>
      </c>
      <c r="B20" s="19">
        <f>B16-B19</f>
        <v/>
      </c>
      <c r="C20" s="19">
        <f>C16-C19</f>
        <v/>
      </c>
      <c r="D20" s="19">
        <f>D16-D19</f>
        <v/>
      </c>
      <c r="E20" s="19">
        <f>E16-E19</f>
        <v/>
      </c>
      <c r="F20" s="19">
        <f>F16-F19</f>
        <v/>
      </c>
      <c r="G20" s="19">
        <f>G16-G19</f>
        <v/>
      </c>
      <c r="H20" s="19">
        <f>H16-H19</f>
        <v/>
      </c>
    </row>
    <row r="21">
      <c r="A21" s="2" t="inlineStr">
        <is>
          <t>EBITDA margin</t>
        </is>
      </c>
      <c r="B21" s="21">
        <f>IF(B14=0,0,B20/B14)</f>
        <v/>
      </c>
      <c r="C21" s="21">
        <f>IF(C14=0,0,C20/C14)</f>
        <v/>
      </c>
      <c r="D21" s="21">
        <f>IF(D14=0,0,D20/D14)</f>
        <v/>
      </c>
      <c r="E21" s="21">
        <f>IF(E14=0,0,E20/E14)</f>
        <v/>
      </c>
      <c r="F21" s="21">
        <f>IF(F14=0,0,F20/F14)</f>
        <v/>
      </c>
      <c r="G21" s="21">
        <f>IF(G14=0,0,G20/G14)</f>
        <v/>
      </c>
      <c r="H21" s="21">
        <f>IF(H14=0,0,H20/H14)</f>
        <v/>
      </c>
    </row>
    <row r="22">
      <c r="A22" s="12" t="inlineStr">
        <is>
          <t>ARR at year end</t>
        </is>
      </c>
      <c r="B22" s="19">
        <f>B10*B11/1000</f>
        <v/>
      </c>
      <c r="C22" s="19">
        <f>C10*C11/1000</f>
        <v/>
      </c>
      <c r="D22" s="19">
        <f>D10*D11/1000</f>
        <v/>
      </c>
      <c r="E22" s="19">
        <f>E10*E11/1000</f>
        <v/>
      </c>
      <c r="F22" s="19">
        <f>F10*F11/1000</f>
        <v/>
      </c>
      <c r="G22" s="19">
        <f>G10*G11/1000</f>
        <v/>
      </c>
      <c r="H22" s="19">
        <f>H10*H11/1000</f>
        <v/>
      </c>
    </row>
    <row r="23">
      <c r="A23" s="2" t="inlineStr">
        <is>
          <t>Headcount at year end</t>
        </is>
      </c>
      <c r="B23" s="16">
        <f>Assumptions!D20+ROUND(Assumptions!D21*$B$8,0)+ROUND(Assumptions!D22*$B$8,0)+ROUND(Assumptions!D23*$B$8,0)+ROUND(Assumptions!D24*$B$8,0)+ROUND(Assumptions!D25*$B$8,0)+ROUND(Assumptions!D26*$B$8,0)+ROUND(Assumptions!D27*$B$8,0)+ROUND(Assumptions!D28*$B$8,0)</f>
        <v/>
      </c>
      <c r="C23" s="16">
        <f>Assumptions!E20+ROUND(Assumptions!E21*$B$8,0)+ROUND(Assumptions!E22*$B$8,0)+ROUND(Assumptions!E23*$B$8,0)+ROUND(Assumptions!E24*$B$8,0)+ROUND(Assumptions!E25*$B$8,0)+ROUND(Assumptions!E26*$B$8,0)+ROUND(Assumptions!E27*$B$8,0)+ROUND(Assumptions!E28*$B$8,0)</f>
        <v/>
      </c>
      <c r="D23" s="16">
        <f>Assumptions!F20+ROUND(Assumptions!F21*$B$8,0)+ROUND(Assumptions!F22*$B$8,0)+ROUND(Assumptions!F23*$B$8,0)+ROUND(Assumptions!F24*$B$8,0)+ROUND(Assumptions!F25*$B$8,0)+ROUND(Assumptions!F26*$B$8,0)+ROUND(Assumptions!F27*$B$8,0)+ROUND(Assumptions!F28*$B$8,0)</f>
        <v/>
      </c>
      <c r="E23" s="16">
        <f>Assumptions!G20+ROUND(Assumptions!G21*$B$8,0)+ROUND(Assumptions!G22*$B$8,0)+ROUND(Assumptions!G23*$B$8,0)+ROUND(Assumptions!G24*$B$8,0)+ROUND(Assumptions!G25*$B$8,0)+ROUND(Assumptions!G26*$B$8,0)+ROUND(Assumptions!G27*$B$8,0)+ROUND(Assumptions!G28*$B$8,0)</f>
        <v/>
      </c>
      <c r="F23" s="16">
        <f>Assumptions!H20+ROUND(Assumptions!H21*$B$8,0)+ROUND(Assumptions!H22*$B$8,0)+ROUND(Assumptions!H23*$B$8,0)+ROUND(Assumptions!H24*$B$8,0)+ROUND(Assumptions!H25*$B$8,0)+ROUND(Assumptions!H26*$B$8,0)+ROUND(Assumptions!H27*$B$8,0)+ROUND(Assumptions!H28*$B$8,0)</f>
        <v/>
      </c>
      <c r="G23" s="16">
        <f>Assumptions!I20+ROUND(Assumptions!I21*$B$8,0)+ROUND(Assumptions!I22*$B$8,0)+ROUND(Assumptions!I23*$B$8,0)+ROUND(Assumptions!I24*$B$8,0)+ROUND(Assumptions!I25*$B$8,0)+ROUND(Assumptions!I26*$B$8,0)+ROUND(Assumptions!I27*$B$8,0)+ROUND(Assumptions!I28*$B$8,0)</f>
        <v/>
      </c>
      <c r="H23" s="16">
        <f>Assumptions!J20+ROUND(Assumptions!J21*$B$8,0)+ROUND(Assumptions!J22*$B$8,0)+ROUND(Assumptions!J23*$B$8,0)+ROUND(Assumptions!J24*$B$8,0)+ROUND(Assumptions!J25*$B$8,0)+ROUND(Assumptions!J26*$B$8,0)+ROUND(Assumptions!J27*$B$8,0)+ROUND(Assumptions!J28*$B$8,0)</f>
        <v/>
      </c>
    </row>
    <row r="24">
      <c r="A24" s="2" t="inlineStr">
        <is>
          <t>Sales and marketing cost</t>
        </is>
      </c>
      <c r="B24" s="20">
        <f>((ROUND(Assumptions!D24*$B$8,0)*0.6)*Assumptions!$C$24+(ROUND(Assumptions!D25*$B$8,0)*0.6)*Assumptions!$C$25+(ROUND(Assumptions!D27*$B$8,0)*0.6)*Assumptions!$C$27)*(1+Assumptions!$B$4)^0/1000+(Assumptions!D35+Assumptions!D36)*1/1000</f>
        <v/>
      </c>
      <c r="C24" s="20">
        <f>(((ROUND(Assumptions!D24*$B$8,0)+ROUND(Assumptions!E24*$B$8,0))/2)*Assumptions!$C$24+((ROUND(Assumptions!D25*$B$8,0)+ROUND(Assumptions!E25*$B$8,0))/2)*Assumptions!$C$25+((ROUND(Assumptions!D27*$B$8,0)+ROUND(Assumptions!E27*$B$8,0))/2)*Assumptions!$C$27)*(1+Assumptions!$B$4)^1/1000+(Assumptions!E35+Assumptions!E36)*$B$8/1000</f>
        <v/>
      </c>
      <c r="D24" s="20">
        <f>(((ROUND(Assumptions!E24*$B$8,0)+ROUND(Assumptions!F24*$B$8,0))/2)*Assumptions!$C$24+((ROUND(Assumptions!E25*$B$8,0)+ROUND(Assumptions!F25*$B$8,0))/2)*Assumptions!$C$25+((ROUND(Assumptions!E27*$B$8,0)+ROUND(Assumptions!F27*$B$8,0))/2)*Assumptions!$C$27)*(1+Assumptions!$B$4)^2/1000+(Assumptions!F35+Assumptions!F36)*$B$8/1000</f>
        <v/>
      </c>
      <c r="E24" s="20">
        <f>(((ROUND(Assumptions!F24*$B$8,0)+ROUND(Assumptions!G24*$B$8,0))/2)*Assumptions!$C$24+((ROUND(Assumptions!F25*$B$8,0)+ROUND(Assumptions!G25*$B$8,0))/2)*Assumptions!$C$25+((ROUND(Assumptions!F27*$B$8,0)+ROUND(Assumptions!G27*$B$8,0))/2)*Assumptions!$C$27)*(1+Assumptions!$B$4)^3/1000+(Assumptions!G35+Assumptions!G36)*$B$8/1000</f>
        <v/>
      </c>
      <c r="F24" s="20">
        <f>(((ROUND(Assumptions!G24*$B$8,0)+ROUND(Assumptions!H24*$B$8,0))/2)*Assumptions!$C$24+((ROUND(Assumptions!G25*$B$8,0)+ROUND(Assumptions!H25*$B$8,0))/2)*Assumptions!$C$25+((ROUND(Assumptions!G27*$B$8,0)+ROUND(Assumptions!H27*$B$8,0))/2)*Assumptions!$C$27)*(1+Assumptions!$B$4)^4/1000+(Assumptions!H35+Assumptions!H36)*$B$8/1000</f>
        <v/>
      </c>
      <c r="G24" s="20">
        <f>(((ROUND(Assumptions!H24*$B$8,0)+ROUND(Assumptions!I24*$B$8,0))/2)*Assumptions!$C$24+((ROUND(Assumptions!H25*$B$8,0)+ROUND(Assumptions!I25*$B$8,0))/2)*Assumptions!$C$25+((ROUND(Assumptions!H27*$B$8,0)+ROUND(Assumptions!I27*$B$8,0))/2)*Assumptions!$C$27)*(1+Assumptions!$B$4)^5/1000+(Assumptions!I35+Assumptions!I36)*$B$8/1000</f>
        <v/>
      </c>
      <c r="H24" s="20">
        <f>(((ROUND(Assumptions!I24*$B$8,0)+ROUND(Assumptions!J24*$B$8,0))/2)*Assumptions!$C$24+((ROUND(Assumptions!I25*$B$8,0)+ROUND(Assumptions!J25*$B$8,0))/2)*Assumptions!$C$25+((ROUND(Assumptions!I27*$B$8,0)+ROUND(Assumptions!J27*$B$8,0))/2)*Assumptions!$C$27)*(1+Assumptions!$B$4)^6/1000+(Assumptions!J35+Assumptions!J36)*$B$8/1000</f>
        <v/>
      </c>
    </row>
    <row r="25">
      <c r="A25" s="2" t="inlineStr">
        <is>
          <t>Sales and marketing cost per $1 of new ARR</t>
        </is>
      </c>
      <c r="B25" s="22">
        <f>IF(B5=0,0,B24/(B5*B11/1000))</f>
        <v/>
      </c>
      <c r="C25" s="22">
        <f>IF(C5=0,0,C24/(C5*C11/1000))</f>
        <v/>
      </c>
      <c r="D25" s="22">
        <f>IF(D5=0,0,D24/(D5*D11/1000))</f>
        <v/>
      </c>
      <c r="E25" s="22">
        <f>IF(E5=0,0,E24/(E5*E11/1000))</f>
        <v/>
      </c>
      <c r="F25" s="22">
        <f>IF(F5=0,0,F24/(F5*F11/1000))</f>
        <v/>
      </c>
      <c r="G25" s="22">
        <f>IF(G5=0,0,G24/(G5*G11/1000))</f>
        <v/>
      </c>
      <c r="H25" s="22">
        <f>IF(H5=0,0,H24/(H5*H11/1000))</f>
        <v/>
      </c>
      <c r="I25" s="7" t="inlineStr">
        <is>
          <t>2024 median $2.00 (Benchmarkit 2025 report, B); key plan risk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Base case</t>
        </is>
      </c>
    </row>
    <row r="2">
      <c r="A2" s="7" t="inlineStr">
        <is>
          <t>Design partners convert, importers add the container-fee and fuel checks, a broker channel opens in year 2 and a factoring partner adds carrier volume from year 3.</t>
        </is>
      </c>
    </row>
    <row r="4">
      <c r="A4" s="4" t="inlineStr">
        <is>
          <t>$M unless stated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Note</t>
        </is>
      </c>
    </row>
    <row r="5">
      <c r="A5" s="2" t="inlineStr">
        <is>
          <t>New accounts won</t>
        </is>
      </c>
      <c r="B5" s="11" t="n">
        <v>6</v>
      </c>
      <c r="C5" s="11" t="n">
        <v>30</v>
      </c>
      <c r="D5" s="11" t="n">
        <v>75</v>
      </c>
      <c r="E5" s="11" t="n">
        <v>120</v>
      </c>
      <c r="F5" s="11" t="n">
        <v>165</v>
      </c>
      <c r="G5" s="11" t="n">
        <v>200</v>
      </c>
      <c r="H5" s="11" t="n">
        <v>235</v>
      </c>
      <c r="I5" s="7" t="inlineStr">
        <is>
          <t>Plan input (C)</t>
        </is>
      </c>
    </row>
    <row r="6">
      <c r="A6" s="2" t="inlineStr">
        <is>
          <t>Annual account churn</t>
        </is>
      </c>
      <c r="B6" s="6" t="n">
        <v>0.2</v>
      </c>
      <c r="I6" s="7" t="inlineStr">
        <is>
          <t>Share of accounts at the start of a year lost during it (C); median gross revenue retention 88% (Benchmarkit, B)</t>
        </is>
      </c>
    </row>
    <row r="7">
      <c r="A7" s="2" t="inlineStr">
        <is>
          <t>Revenue per account vs base</t>
        </is>
      </c>
      <c r="B7" s="15" t="n">
        <v>1</v>
      </c>
    </row>
    <row r="8">
      <c r="A8" s="2" t="inlineStr">
        <is>
          <t>Cost scale vs base headcount and spend</t>
        </is>
      </c>
      <c r="B8" s="15" t="n">
        <v>1</v>
      </c>
    </row>
    <row r="9">
      <c r="A9" s="2" t="inlineStr">
        <is>
          <t>Accounts lost in year</t>
        </is>
      </c>
      <c r="B9" s="16">
        <f>0</f>
        <v/>
      </c>
      <c r="C9" s="16">
        <f>ROUND(B10*$B$6,0)</f>
        <v/>
      </c>
      <c r="D9" s="16">
        <f>ROUND(C10*$B$6,0)</f>
        <v/>
      </c>
      <c r="E9" s="16">
        <f>ROUND(D10*$B$6,0)</f>
        <v/>
      </c>
      <c r="F9" s="16">
        <f>ROUND(E10*$B$6,0)</f>
        <v/>
      </c>
      <c r="G9" s="16">
        <f>ROUND(F10*$B$6,0)</f>
        <v/>
      </c>
      <c r="H9" s="16">
        <f>ROUND(G10*$B$6,0)</f>
        <v/>
      </c>
    </row>
    <row r="10">
      <c r="A10" s="12" t="inlineStr">
        <is>
          <t>Paying accounts at year end</t>
        </is>
      </c>
      <c r="B10" s="17">
        <f>B5</f>
        <v/>
      </c>
      <c r="C10" s="17">
        <f>B10-C9+C5</f>
        <v/>
      </c>
      <c r="D10" s="17">
        <f>C10-D9+D5</f>
        <v/>
      </c>
      <c r="E10" s="17">
        <f>D10-E9+E5</f>
        <v/>
      </c>
      <c r="F10" s="17">
        <f>E10-F9+F5</f>
        <v/>
      </c>
      <c r="G10" s="17">
        <f>F10-G9+G5</f>
        <v/>
      </c>
      <c r="H10" s="17">
        <f>G10-H9+H5</f>
        <v/>
      </c>
    </row>
    <row r="11">
      <c r="A11" s="2" t="inlineStr">
        <is>
          <t>Revenue per account ($K)</t>
        </is>
      </c>
      <c r="B11" s="18">
        <f>Assumptions!B16*$B$7</f>
        <v/>
      </c>
      <c r="C11" s="18">
        <f>Assumptions!C16*$B$7</f>
        <v/>
      </c>
      <c r="D11" s="18">
        <f>Assumptions!D16*$B$7</f>
        <v/>
      </c>
      <c r="E11" s="18">
        <f>Assumptions!E16*$B$7</f>
        <v/>
      </c>
      <c r="F11" s="18">
        <f>Assumptions!F16*$B$7</f>
        <v/>
      </c>
      <c r="G11" s="18">
        <f>Assumptions!G16*$B$7</f>
        <v/>
      </c>
      <c r="H11" s="18">
        <f>Assumptions!H16*$B$7</f>
        <v/>
      </c>
    </row>
    <row r="12">
      <c r="A12" s="2" t="inlineStr">
        <is>
          <t>Gross margin</t>
        </is>
      </c>
      <c r="B12" s="6" t="n">
        <v>0.5</v>
      </c>
      <c r="C12" s="6" t="n">
        <v>0.58</v>
      </c>
      <c r="D12" s="6" t="n">
        <v>0.64</v>
      </c>
      <c r="E12" s="6" t="n">
        <v>0.68</v>
      </c>
      <c r="F12" s="6" t="n">
        <v>0.71</v>
      </c>
      <c r="G12" s="6" t="n">
        <v>0.73</v>
      </c>
      <c r="H12" s="6" t="n">
        <v>0.74</v>
      </c>
      <c r="I12" s="7" t="inlineStr">
        <is>
          <t>After hosting, data feeds and claim review labour (C)</t>
        </is>
      </c>
    </row>
    <row r="14">
      <c r="A14" s="12" t="inlineStr">
        <is>
          <t>Revenue</t>
        </is>
      </c>
      <c r="B14" s="19">
        <f>(0+B10)/2*B11/1000</f>
        <v/>
      </c>
      <c r="C14" s="19">
        <f>(B10+C10)/2*C11/1000</f>
        <v/>
      </c>
      <c r="D14" s="19">
        <f>(C10+D10)/2*D11/1000</f>
        <v/>
      </c>
      <c r="E14" s="19">
        <f>(D10+E10)/2*E11/1000</f>
        <v/>
      </c>
      <c r="F14" s="19">
        <f>(E10+F10)/2*F11/1000</f>
        <v/>
      </c>
      <c r="G14" s="19">
        <f>(F10+G10)/2*G11/1000</f>
        <v/>
      </c>
      <c r="H14" s="19">
        <f>(G10+H10)/2*H11/1000</f>
        <v/>
      </c>
    </row>
    <row r="15">
      <c r="A15" s="2" t="inlineStr">
        <is>
          <t>Cost of revenue</t>
        </is>
      </c>
      <c r="B15" s="20">
        <f>B14*(1-B12)</f>
        <v/>
      </c>
      <c r="C15" s="20">
        <f>C14*(1-C12)</f>
        <v/>
      </c>
      <c r="D15" s="20">
        <f>D14*(1-D12)</f>
        <v/>
      </c>
      <c r="E15" s="20">
        <f>E14*(1-E12)</f>
        <v/>
      </c>
      <c r="F15" s="20">
        <f>F14*(1-F12)</f>
        <v/>
      </c>
      <c r="G15" s="20">
        <f>G14*(1-G12)</f>
        <v/>
      </c>
      <c r="H15" s="20">
        <f>H14*(1-H12)</f>
        <v/>
      </c>
    </row>
    <row r="16">
      <c r="A16" s="12" t="inlineStr">
        <is>
          <t>Gross profit</t>
        </is>
      </c>
      <c r="B16" s="19">
        <f>B14-B15</f>
        <v/>
      </c>
      <c r="C16" s="19">
        <f>C14-C15</f>
        <v/>
      </c>
      <c r="D16" s="19">
        <f>D14-D15</f>
        <v/>
      </c>
      <c r="E16" s="19">
        <f>E14-E15</f>
        <v/>
      </c>
      <c r="F16" s="19">
        <f>F14-F15</f>
        <v/>
      </c>
      <c r="G16" s="19">
        <f>G14-G15</f>
        <v/>
      </c>
      <c r="H16" s="19">
        <f>H14-H15</f>
        <v/>
      </c>
    </row>
    <row r="17">
      <c r="A17" s="2" t="inlineStr">
        <is>
          <t>People costs</t>
        </is>
      </c>
      <c r="B17" s="20">
        <f>(Assumptions!D20*Assumptions!$C$20+(ROUND(Assumptions!D21*$B$8,0)*0.6)*Assumptions!$C$21+(ROUND(Assumptions!D22*$B$8,0)*0.6)*Assumptions!$C$22+(ROUND(Assumptions!D23*$B$8,0)*0.6)*Assumptions!$C$23+(ROUND(Assumptions!D24*$B$8,0)*0.6)*Assumptions!$C$24+(ROUND(Assumptions!D25*$B$8,0)*0.6)*Assumptions!$C$25+(ROUND(Assumptions!D26*$B$8,0)*0.6)*Assumptions!$C$26+(ROUND(Assumptions!D27*$B$8,0)*0.6)*Assumptions!$C$27+(ROUND(Assumptions!D28*$B$8,0)*0.6)*Assumptions!$C$28)*(1+Assumptions!$B$4)^0/1000</f>
        <v/>
      </c>
      <c r="C17" s="20">
        <f>(((Assumptions!D20+Assumptions!E20)/2)*Assumptions!$C$20+((ROUND(Assumptions!D21*$B$8,0)+ROUND(Assumptions!E21*$B$8,0))/2)*Assumptions!$C$21+((ROUND(Assumptions!D22*$B$8,0)+ROUND(Assumptions!E22*$B$8,0))/2)*Assumptions!$C$22+((ROUND(Assumptions!D23*$B$8,0)+ROUND(Assumptions!E23*$B$8,0))/2)*Assumptions!$C$23+((ROUND(Assumptions!D24*$B$8,0)+ROUND(Assumptions!E24*$B$8,0))/2)*Assumptions!$C$24+((ROUND(Assumptions!D25*$B$8,0)+ROUND(Assumptions!E25*$B$8,0))/2)*Assumptions!$C$25+((ROUND(Assumptions!D26*$B$8,0)+ROUND(Assumptions!E26*$B$8,0))/2)*Assumptions!$C$26+((ROUND(Assumptions!D27*$B$8,0)+ROUND(Assumptions!E27*$B$8,0))/2)*Assumptions!$C$27+((ROUND(Assumptions!D28*$B$8,0)+ROUND(Assumptions!E28*$B$8,0))/2)*Assumptions!$C$28)*(1+Assumptions!$B$4)^1/1000</f>
        <v/>
      </c>
      <c r="D17" s="20">
        <f>(((Assumptions!E20+Assumptions!F20)/2)*Assumptions!$C$20+((ROUND(Assumptions!E21*$B$8,0)+ROUND(Assumptions!F21*$B$8,0))/2)*Assumptions!$C$21+((ROUND(Assumptions!E22*$B$8,0)+ROUND(Assumptions!F22*$B$8,0))/2)*Assumptions!$C$22+((ROUND(Assumptions!E23*$B$8,0)+ROUND(Assumptions!F23*$B$8,0))/2)*Assumptions!$C$23+((ROUND(Assumptions!E24*$B$8,0)+ROUND(Assumptions!F24*$B$8,0))/2)*Assumptions!$C$24+((ROUND(Assumptions!E25*$B$8,0)+ROUND(Assumptions!F25*$B$8,0))/2)*Assumptions!$C$25+((ROUND(Assumptions!E26*$B$8,0)+ROUND(Assumptions!F26*$B$8,0))/2)*Assumptions!$C$26+((ROUND(Assumptions!E27*$B$8,0)+ROUND(Assumptions!F27*$B$8,0))/2)*Assumptions!$C$27+((ROUND(Assumptions!E28*$B$8,0)+ROUND(Assumptions!F28*$B$8,0))/2)*Assumptions!$C$28)*(1+Assumptions!$B$4)^2/1000</f>
        <v/>
      </c>
      <c r="E17" s="20">
        <f>(((Assumptions!F20+Assumptions!G20)/2)*Assumptions!$C$20+((ROUND(Assumptions!F21*$B$8,0)+ROUND(Assumptions!G21*$B$8,0))/2)*Assumptions!$C$21+((ROUND(Assumptions!F22*$B$8,0)+ROUND(Assumptions!G22*$B$8,0))/2)*Assumptions!$C$22+((ROUND(Assumptions!F23*$B$8,0)+ROUND(Assumptions!G23*$B$8,0))/2)*Assumptions!$C$23+((ROUND(Assumptions!F24*$B$8,0)+ROUND(Assumptions!G24*$B$8,0))/2)*Assumptions!$C$24+((ROUND(Assumptions!F25*$B$8,0)+ROUND(Assumptions!G25*$B$8,0))/2)*Assumptions!$C$25+((ROUND(Assumptions!F26*$B$8,0)+ROUND(Assumptions!G26*$B$8,0))/2)*Assumptions!$C$26+((ROUND(Assumptions!F27*$B$8,0)+ROUND(Assumptions!G27*$B$8,0))/2)*Assumptions!$C$27+((ROUND(Assumptions!F28*$B$8,0)+ROUND(Assumptions!G28*$B$8,0))/2)*Assumptions!$C$28)*(1+Assumptions!$B$4)^3/1000</f>
        <v/>
      </c>
      <c r="F17" s="20">
        <f>(((Assumptions!G20+Assumptions!H20)/2)*Assumptions!$C$20+((ROUND(Assumptions!G21*$B$8,0)+ROUND(Assumptions!H21*$B$8,0))/2)*Assumptions!$C$21+((ROUND(Assumptions!G22*$B$8,0)+ROUND(Assumptions!H22*$B$8,0))/2)*Assumptions!$C$22+((ROUND(Assumptions!G23*$B$8,0)+ROUND(Assumptions!H23*$B$8,0))/2)*Assumptions!$C$23+((ROUND(Assumptions!G24*$B$8,0)+ROUND(Assumptions!H24*$B$8,0))/2)*Assumptions!$C$24+((ROUND(Assumptions!G25*$B$8,0)+ROUND(Assumptions!H25*$B$8,0))/2)*Assumptions!$C$25+((ROUND(Assumptions!G26*$B$8,0)+ROUND(Assumptions!H26*$B$8,0))/2)*Assumptions!$C$26+((ROUND(Assumptions!G27*$B$8,0)+ROUND(Assumptions!H27*$B$8,0))/2)*Assumptions!$C$27+((ROUND(Assumptions!G28*$B$8,0)+ROUND(Assumptions!H28*$B$8,0))/2)*Assumptions!$C$28)*(1+Assumptions!$B$4)^4/1000</f>
        <v/>
      </c>
      <c r="G17" s="20">
        <f>(((Assumptions!H20+Assumptions!I20)/2)*Assumptions!$C$20+((ROUND(Assumptions!H21*$B$8,0)+ROUND(Assumptions!I21*$B$8,0))/2)*Assumptions!$C$21+((ROUND(Assumptions!H22*$B$8,0)+ROUND(Assumptions!I22*$B$8,0))/2)*Assumptions!$C$22+((ROUND(Assumptions!H23*$B$8,0)+ROUND(Assumptions!I23*$B$8,0))/2)*Assumptions!$C$23+((ROUND(Assumptions!H24*$B$8,0)+ROUND(Assumptions!I24*$B$8,0))/2)*Assumptions!$C$24+((ROUND(Assumptions!H25*$B$8,0)+ROUND(Assumptions!I25*$B$8,0))/2)*Assumptions!$C$25+((ROUND(Assumptions!H26*$B$8,0)+ROUND(Assumptions!I26*$B$8,0))/2)*Assumptions!$C$26+((ROUND(Assumptions!H27*$B$8,0)+ROUND(Assumptions!I27*$B$8,0))/2)*Assumptions!$C$27+((ROUND(Assumptions!H28*$B$8,0)+ROUND(Assumptions!I28*$B$8,0))/2)*Assumptions!$C$28)*(1+Assumptions!$B$4)^5/1000</f>
        <v/>
      </c>
      <c r="H17" s="20">
        <f>(((Assumptions!I20+Assumptions!J20)/2)*Assumptions!$C$20+((ROUND(Assumptions!I21*$B$8,0)+ROUND(Assumptions!J21*$B$8,0))/2)*Assumptions!$C$21+((ROUND(Assumptions!I22*$B$8,0)+ROUND(Assumptions!J22*$B$8,0))/2)*Assumptions!$C$22+((ROUND(Assumptions!I23*$B$8,0)+ROUND(Assumptions!J23*$B$8,0))/2)*Assumptions!$C$23+((ROUND(Assumptions!I24*$B$8,0)+ROUND(Assumptions!J24*$B$8,0))/2)*Assumptions!$C$24+((ROUND(Assumptions!I25*$B$8,0)+ROUND(Assumptions!J25*$B$8,0))/2)*Assumptions!$C$25+((ROUND(Assumptions!I26*$B$8,0)+ROUND(Assumptions!J26*$B$8,0))/2)*Assumptions!$C$26+((ROUND(Assumptions!I27*$B$8,0)+ROUND(Assumptions!J27*$B$8,0))/2)*Assumptions!$C$27+((ROUND(Assumptions!I28*$B$8,0)+ROUND(Assumptions!J28*$B$8,0))/2)*Assumptions!$C$28)*(1+Assumptions!$B$4)^6/1000</f>
        <v/>
      </c>
    </row>
    <row r="18">
      <c r="A18" s="2" t="inlineStr">
        <is>
          <t>Other operating costs</t>
        </is>
      </c>
      <c r="B18" s="20">
        <f>SUM(Assumptions!D32:D37)*1/1000</f>
        <v/>
      </c>
      <c r="C18" s="20">
        <f>SUM(Assumptions!E32:E37)*$B$8/1000</f>
        <v/>
      </c>
      <c r="D18" s="20">
        <f>SUM(Assumptions!F32:F37)*$B$8/1000</f>
        <v/>
      </c>
      <c r="E18" s="20">
        <f>SUM(Assumptions!G32:G37)*$B$8/1000</f>
        <v/>
      </c>
      <c r="F18" s="20">
        <f>SUM(Assumptions!H32:H37)*$B$8/1000</f>
        <v/>
      </c>
      <c r="G18" s="20">
        <f>SUM(Assumptions!I32:I37)*$B$8/1000</f>
        <v/>
      </c>
      <c r="H18" s="20">
        <f>SUM(Assumptions!J32:J37)*$B$8/1000</f>
        <v/>
      </c>
    </row>
    <row r="19">
      <c r="A19" s="12" t="inlineStr">
        <is>
          <t>Total operating costs</t>
        </is>
      </c>
      <c r="B19" s="19">
        <f>B17+B18</f>
        <v/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9">
        <f>G17+G18</f>
        <v/>
      </c>
      <c r="H19" s="19">
        <f>H17+H18</f>
        <v/>
      </c>
    </row>
    <row r="20">
      <c r="A20" s="12" t="inlineStr">
        <is>
          <t>EBITDA</t>
        </is>
      </c>
      <c r="B20" s="19">
        <f>B16-B19</f>
        <v/>
      </c>
      <c r="C20" s="19">
        <f>C16-C19</f>
        <v/>
      </c>
      <c r="D20" s="19">
        <f>D16-D19</f>
        <v/>
      </c>
      <c r="E20" s="19">
        <f>E16-E19</f>
        <v/>
      </c>
      <c r="F20" s="19">
        <f>F16-F19</f>
        <v/>
      </c>
      <c r="G20" s="19">
        <f>G16-G19</f>
        <v/>
      </c>
      <c r="H20" s="19">
        <f>H16-H19</f>
        <v/>
      </c>
    </row>
    <row r="21">
      <c r="A21" s="2" t="inlineStr">
        <is>
          <t>EBITDA margin</t>
        </is>
      </c>
      <c r="B21" s="21">
        <f>IF(B14=0,0,B20/B14)</f>
        <v/>
      </c>
      <c r="C21" s="21">
        <f>IF(C14=0,0,C20/C14)</f>
        <v/>
      </c>
      <c r="D21" s="21">
        <f>IF(D14=0,0,D20/D14)</f>
        <v/>
      </c>
      <c r="E21" s="21">
        <f>IF(E14=0,0,E20/E14)</f>
        <v/>
      </c>
      <c r="F21" s="21">
        <f>IF(F14=0,0,F20/F14)</f>
        <v/>
      </c>
      <c r="G21" s="21">
        <f>IF(G14=0,0,G20/G14)</f>
        <v/>
      </c>
      <c r="H21" s="21">
        <f>IF(H14=0,0,H20/H14)</f>
        <v/>
      </c>
    </row>
    <row r="22">
      <c r="A22" s="12" t="inlineStr">
        <is>
          <t>ARR at year end</t>
        </is>
      </c>
      <c r="B22" s="19">
        <f>B10*B11/1000</f>
        <v/>
      </c>
      <c r="C22" s="19">
        <f>C10*C11/1000</f>
        <v/>
      </c>
      <c r="D22" s="19">
        <f>D10*D11/1000</f>
        <v/>
      </c>
      <c r="E22" s="19">
        <f>E10*E11/1000</f>
        <v/>
      </c>
      <c r="F22" s="19">
        <f>F10*F11/1000</f>
        <v/>
      </c>
      <c r="G22" s="19">
        <f>G10*G11/1000</f>
        <v/>
      </c>
      <c r="H22" s="19">
        <f>H10*H11/1000</f>
        <v/>
      </c>
    </row>
    <row r="23">
      <c r="A23" s="2" t="inlineStr">
        <is>
          <t>Headcount at year end</t>
        </is>
      </c>
      <c r="B23" s="16">
        <f>Assumptions!D20+ROUND(Assumptions!D21*$B$8,0)+ROUND(Assumptions!D22*$B$8,0)+ROUND(Assumptions!D23*$B$8,0)+ROUND(Assumptions!D24*$B$8,0)+ROUND(Assumptions!D25*$B$8,0)+ROUND(Assumptions!D26*$B$8,0)+ROUND(Assumptions!D27*$B$8,0)+ROUND(Assumptions!D28*$B$8,0)</f>
        <v/>
      </c>
      <c r="C23" s="16">
        <f>Assumptions!E20+ROUND(Assumptions!E21*$B$8,0)+ROUND(Assumptions!E22*$B$8,0)+ROUND(Assumptions!E23*$B$8,0)+ROUND(Assumptions!E24*$B$8,0)+ROUND(Assumptions!E25*$B$8,0)+ROUND(Assumptions!E26*$B$8,0)+ROUND(Assumptions!E27*$B$8,0)+ROUND(Assumptions!E28*$B$8,0)</f>
        <v/>
      </c>
      <c r="D23" s="16">
        <f>Assumptions!F20+ROUND(Assumptions!F21*$B$8,0)+ROUND(Assumptions!F22*$B$8,0)+ROUND(Assumptions!F23*$B$8,0)+ROUND(Assumptions!F24*$B$8,0)+ROUND(Assumptions!F25*$B$8,0)+ROUND(Assumptions!F26*$B$8,0)+ROUND(Assumptions!F27*$B$8,0)+ROUND(Assumptions!F28*$B$8,0)</f>
        <v/>
      </c>
      <c r="E23" s="16">
        <f>Assumptions!G20+ROUND(Assumptions!G21*$B$8,0)+ROUND(Assumptions!G22*$B$8,0)+ROUND(Assumptions!G23*$B$8,0)+ROUND(Assumptions!G24*$B$8,0)+ROUND(Assumptions!G25*$B$8,0)+ROUND(Assumptions!G26*$B$8,0)+ROUND(Assumptions!G27*$B$8,0)+ROUND(Assumptions!G28*$B$8,0)</f>
        <v/>
      </c>
      <c r="F23" s="16">
        <f>Assumptions!H20+ROUND(Assumptions!H21*$B$8,0)+ROUND(Assumptions!H22*$B$8,0)+ROUND(Assumptions!H23*$B$8,0)+ROUND(Assumptions!H24*$B$8,0)+ROUND(Assumptions!H25*$B$8,0)+ROUND(Assumptions!H26*$B$8,0)+ROUND(Assumptions!H27*$B$8,0)+ROUND(Assumptions!H28*$B$8,0)</f>
        <v/>
      </c>
      <c r="G23" s="16">
        <f>Assumptions!I20+ROUND(Assumptions!I21*$B$8,0)+ROUND(Assumptions!I22*$B$8,0)+ROUND(Assumptions!I23*$B$8,0)+ROUND(Assumptions!I24*$B$8,0)+ROUND(Assumptions!I25*$B$8,0)+ROUND(Assumptions!I26*$B$8,0)+ROUND(Assumptions!I27*$B$8,0)+ROUND(Assumptions!I28*$B$8,0)</f>
        <v/>
      </c>
      <c r="H23" s="16">
        <f>Assumptions!J20+ROUND(Assumptions!J21*$B$8,0)+ROUND(Assumptions!J22*$B$8,0)+ROUND(Assumptions!J23*$B$8,0)+ROUND(Assumptions!J24*$B$8,0)+ROUND(Assumptions!J25*$B$8,0)+ROUND(Assumptions!J26*$B$8,0)+ROUND(Assumptions!J27*$B$8,0)+ROUND(Assumptions!J28*$B$8,0)</f>
        <v/>
      </c>
    </row>
    <row r="24">
      <c r="A24" s="2" t="inlineStr">
        <is>
          <t>Sales and marketing cost</t>
        </is>
      </c>
      <c r="B24" s="20">
        <f>((ROUND(Assumptions!D24*$B$8,0)*0.6)*Assumptions!$C$24+(ROUND(Assumptions!D25*$B$8,0)*0.6)*Assumptions!$C$25+(ROUND(Assumptions!D27*$B$8,0)*0.6)*Assumptions!$C$27)*(1+Assumptions!$B$4)^0/1000+(Assumptions!D35+Assumptions!D36)*1/1000</f>
        <v/>
      </c>
      <c r="C24" s="20">
        <f>(((ROUND(Assumptions!D24*$B$8,0)+ROUND(Assumptions!E24*$B$8,0))/2)*Assumptions!$C$24+((ROUND(Assumptions!D25*$B$8,0)+ROUND(Assumptions!E25*$B$8,0))/2)*Assumptions!$C$25+((ROUND(Assumptions!D27*$B$8,0)+ROUND(Assumptions!E27*$B$8,0))/2)*Assumptions!$C$27)*(1+Assumptions!$B$4)^1/1000+(Assumptions!E35+Assumptions!E36)*$B$8/1000</f>
        <v/>
      </c>
      <c r="D24" s="20">
        <f>(((ROUND(Assumptions!E24*$B$8,0)+ROUND(Assumptions!F24*$B$8,0))/2)*Assumptions!$C$24+((ROUND(Assumptions!E25*$B$8,0)+ROUND(Assumptions!F25*$B$8,0))/2)*Assumptions!$C$25+((ROUND(Assumptions!E27*$B$8,0)+ROUND(Assumptions!F27*$B$8,0))/2)*Assumptions!$C$27)*(1+Assumptions!$B$4)^2/1000+(Assumptions!F35+Assumptions!F36)*$B$8/1000</f>
        <v/>
      </c>
      <c r="E24" s="20">
        <f>(((ROUND(Assumptions!F24*$B$8,0)+ROUND(Assumptions!G24*$B$8,0))/2)*Assumptions!$C$24+((ROUND(Assumptions!F25*$B$8,0)+ROUND(Assumptions!G25*$B$8,0))/2)*Assumptions!$C$25+((ROUND(Assumptions!F27*$B$8,0)+ROUND(Assumptions!G27*$B$8,0))/2)*Assumptions!$C$27)*(1+Assumptions!$B$4)^3/1000+(Assumptions!G35+Assumptions!G36)*$B$8/1000</f>
        <v/>
      </c>
      <c r="F24" s="20">
        <f>(((ROUND(Assumptions!G24*$B$8,0)+ROUND(Assumptions!H24*$B$8,0))/2)*Assumptions!$C$24+((ROUND(Assumptions!G25*$B$8,0)+ROUND(Assumptions!H25*$B$8,0))/2)*Assumptions!$C$25+((ROUND(Assumptions!G27*$B$8,0)+ROUND(Assumptions!H27*$B$8,0))/2)*Assumptions!$C$27)*(1+Assumptions!$B$4)^4/1000+(Assumptions!H35+Assumptions!H36)*$B$8/1000</f>
        <v/>
      </c>
      <c r="G24" s="20">
        <f>(((ROUND(Assumptions!H24*$B$8,0)+ROUND(Assumptions!I24*$B$8,0))/2)*Assumptions!$C$24+((ROUND(Assumptions!H25*$B$8,0)+ROUND(Assumptions!I25*$B$8,0))/2)*Assumptions!$C$25+((ROUND(Assumptions!H27*$B$8,0)+ROUND(Assumptions!I27*$B$8,0))/2)*Assumptions!$C$27)*(1+Assumptions!$B$4)^5/1000+(Assumptions!I35+Assumptions!I36)*$B$8/1000</f>
        <v/>
      </c>
      <c r="H24" s="20">
        <f>(((ROUND(Assumptions!I24*$B$8,0)+ROUND(Assumptions!J24*$B$8,0))/2)*Assumptions!$C$24+((ROUND(Assumptions!I25*$B$8,0)+ROUND(Assumptions!J25*$B$8,0))/2)*Assumptions!$C$25+((ROUND(Assumptions!I27*$B$8,0)+ROUND(Assumptions!J27*$B$8,0))/2)*Assumptions!$C$27)*(1+Assumptions!$B$4)^6/1000+(Assumptions!J35+Assumptions!J36)*$B$8/1000</f>
        <v/>
      </c>
    </row>
    <row r="25">
      <c r="A25" s="2" t="inlineStr">
        <is>
          <t>Sales and marketing cost per $1 of new ARR</t>
        </is>
      </c>
      <c r="B25" s="22">
        <f>IF(B5=0,0,B24/(B5*B11/1000))</f>
        <v/>
      </c>
      <c r="C25" s="22">
        <f>IF(C5=0,0,C24/(C5*C11/1000))</f>
        <v/>
      </c>
      <c r="D25" s="22">
        <f>IF(D5=0,0,D24/(D5*D11/1000))</f>
        <v/>
      </c>
      <c r="E25" s="22">
        <f>IF(E5=0,0,E24/(E5*E11/1000))</f>
        <v/>
      </c>
      <c r="F25" s="22">
        <f>IF(F5=0,0,F24/(F5*F11/1000))</f>
        <v/>
      </c>
      <c r="G25" s="22">
        <f>IF(G5=0,0,G24/(G5*G11/1000))</f>
        <v/>
      </c>
      <c r="H25" s="22">
        <f>IF(H5=0,0,H24/(H5*H11/1000))</f>
        <v/>
      </c>
      <c r="I25" s="7" t="inlineStr">
        <is>
          <t>2024 median $2.00 (Benchmarkit 2025 report, B); key plan risk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Upside case</t>
        </is>
      </c>
    </row>
    <row r="2">
      <c r="A2" s="7" t="inlineStr">
        <is>
          <t>A factoring or ELD distribution partner is signed in year 2, the platform fee is adopted early and importers extend checks from one port to their whole network.</t>
        </is>
      </c>
    </row>
    <row r="4">
      <c r="A4" s="4" t="inlineStr">
        <is>
          <t>$M unless stated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Note</t>
        </is>
      </c>
    </row>
    <row r="5">
      <c r="A5" s="2" t="inlineStr">
        <is>
          <t>New accounts won</t>
        </is>
      </c>
      <c r="B5" s="11" t="n">
        <v>8</v>
      </c>
      <c r="C5" s="11" t="n">
        <v>40</v>
      </c>
      <c r="D5" s="11" t="n">
        <v>100</v>
      </c>
      <c r="E5" s="11" t="n">
        <v>160</v>
      </c>
      <c r="F5" s="11" t="n">
        <v>215</v>
      </c>
      <c r="G5" s="11" t="n">
        <v>260</v>
      </c>
      <c r="H5" s="11" t="n">
        <v>300</v>
      </c>
      <c r="I5" s="7" t="inlineStr">
        <is>
          <t>Plan input (C)</t>
        </is>
      </c>
    </row>
    <row r="6">
      <c r="A6" s="2" t="inlineStr">
        <is>
          <t>Annual account churn</t>
        </is>
      </c>
      <c r="B6" s="6" t="n">
        <v>0.15</v>
      </c>
      <c r="I6" s="7" t="inlineStr">
        <is>
          <t>Share of accounts at the start of a year lost during it (C); median gross revenue retention 88% (Benchmarkit, B)</t>
        </is>
      </c>
    </row>
    <row r="7">
      <c r="A7" s="2" t="inlineStr">
        <is>
          <t>Revenue per account vs base</t>
        </is>
      </c>
      <c r="B7" s="15" t="n">
        <v>1.15</v>
      </c>
    </row>
    <row r="8">
      <c r="A8" s="2" t="inlineStr">
        <is>
          <t>Cost scale vs base headcount and spend</t>
        </is>
      </c>
      <c r="B8" s="15" t="n">
        <v>1.1</v>
      </c>
    </row>
    <row r="9">
      <c r="A9" s="2" t="inlineStr">
        <is>
          <t>Accounts lost in year</t>
        </is>
      </c>
      <c r="B9" s="16">
        <f>0</f>
        <v/>
      </c>
      <c r="C9" s="16">
        <f>ROUND(B10*$B$6,0)</f>
        <v/>
      </c>
      <c r="D9" s="16">
        <f>ROUND(C10*$B$6,0)</f>
        <v/>
      </c>
      <c r="E9" s="16">
        <f>ROUND(D10*$B$6,0)</f>
        <v/>
      </c>
      <c r="F9" s="16">
        <f>ROUND(E10*$B$6,0)</f>
        <v/>
      </c>
      <c r="G9" s="16">
        <f>ROUND(F10*$B$6,0)</f>
        <v/>
      </c>
      <c r="H9" s="16">
        <f>ROUND(G10*$B$6,0)</f>
        <v/>
      </c>
    </row>
    <row r="10">
      <c r="A10" s="12" t="inlineStr">
        <is>
          <t>Paying accounts at year end</t>
        </is>
      </c>
      <c r="B10" s="17">
        <f>B5</f>
        <v/>
      </c>
      <c r="C10" s="17">
        <f>B10-C9+C5</f>
        <v/>
      </c>
      <c r="D10" s="17">
        <f>C10-D9+D5</f>
        <v/>
      </c>
      <c r="E10" s="17">
        <f>D10-E9+E5</f>
        <v/>
      </c>
      <c r="F10" s="17">
        <f>E10-F9+F5</f>
        <v/>
      </c>
      <c r="G10" s="17">
        <f>F10-G9+G5</f>
        <v/>
      </c>
      <c r="H10" s="17">
        <f>G10-H9+H5</f>
        <v/>
      </c>
    </row>
    <row r="11">
      <c r="A11" s="2" t="inlineStr">
        <is>
          <t>Revenue per account ($K)</t>
        </is>
      </c>
      <c r="B11" s="18">
        <f>Assumptions!B16*$B$7</f>
        <v/>
      </c>
      <c r="C11" s="18">
        <f>Assumptions!C16*$B$7</f>
        <v/>
      </c>
      <c r="D11" s="18">
        <f>Assumptions!D16*$B$7</f>
        <v/>
      </c>
      <c r="E11" s="18">
        <f>Assumptions!E16*$B$7</f>
        <v/>
      </c>
      <c r="F11" s="18">
        <f>Assumptions!F16*$B$7</f>
        <v/>
      </c>
      <c r="G11" s="18">
        <f>Assumptions!G16*$B$7</f>
        <v/>
      </c>
      <c r="H11" s="18">
        <f>Assumptions!H16*$B$7</f>
        <v/>
      </c>
    </row>
    <row r="12">
      <c r="A12" s="2" t="inlineStr">
        <is>
          <t>Gross margin</t>
        </is>
      </c>
      <c r="B12" s="6" t="n">
        <v>0.55</v>
      </c>
      <c r="C12" s="6" t="n">
        <v>0.62</v>
      </c>
      <c r="D12" s="6" t="n">
        <v>0.68</v>
      </c>
      <c r="E12" s="6" t="n">
        <v>0.72</v>
      </c>
      <c r="F12" s="6" t="n">
        <v>0.75</v>
      </c>
      <c r="G12" s="6" t="n">
        <v>0.77</v>
      </c>
      <c r="H12" s="6" t="n">
        <v>0.78</v>
      </c>
      <c r="I12" s="7" t="inlineStr">
        <is>
          <t>After hosting, data feeds and claim review labour (C)</t>
        </is>
      </c>
    </row>
    <row r="14">
      <c r="A14" s="12" t="inlineStr">
        <is>
          <t>Revenue</t>
        </is>
      </c>
      <c r="B14" s="19">
        <f>(0+B10)/2*B11/1000</f>
        <v/>
      </c>
      <c r="C14" s="19">
        <f>(B10+C10)/2*C11/1000</f>
        <v/>
      </c>
      <c r="D14" s="19">
        <f>(C10+D10)/2*D11/1000</f>
        <v/>
      </c>
      <c r="E14" s="19">
        <f>(D10+E10)/2*E11/1000</f>
        <v/>
      </c>
      <c r="F14" s="19">
        <f>(E10+F10)/2*F11/1000</f>
        <v/>
      </c>
      <c r="G14" s="19">
        <f>(F10+G10)/2*G11/1000</f>
        <v/>
      </c>
      <c r="H14" s="19">
        <f>(G10+H10)/2*H11/1000</f>
        <v/>
      </c>
    </row>
    <row r="15">
      <c r="A15" s="2" t="inlineStr">
        <is>
          <t>Cost of revenue</t>
        </is>
      </c>
      <c r="B15" s="20">
        <f>B14*(1-B12)</f>
        <v/>
      </c>
      <c r="C15" s="20">
        <f>C14*(1-C12)</f>
        <v/>
      </c>
      <c r="D15" s="20">
        <f>D14*(1-D12)</f>
        <v/>
      </c>
      <c r="E15" s="20">
        <f>E14*(1-E12)</f>
        <v/>
      </c>
      <c r="F15" s="20">
        <f>F14*(1-F12)</f>
        <v/>
      </c>
      <c r="G15" s="20">
        <f>G14*(1-G12)</f>
        <v/>
      </c>
      <c r="H15" s="20">
        <f>H14*(1-H12)</f>
        <v/>
      </c>
    </row>
    <row r="16">
      <c r="A16" s="12" t="inlineStr">
        <is>
          <t>Gross profit</t>
        </is>
      </c>
      <c r="B16" s="19">
        <f>B14-B15</f>
        <v/>
      </c>
      <c r="C16" s="19">
        <f>C14-C15</f>
        <v/>
      </c>
      <c r="D16" s="19">
        <f>D14-D15</f>
        <v/>
      </c>
      <c r="E16" s="19">
        <f>E14-E15</f>
        <v/>
      </c>
      <c r="F16" s="19">
        <f>F14-F15</f>
        <v/>
      </c>
      <c r="G16" s="19">
        <f>G14-G15</f>
        <v/>
      </c>
      <c r="H16" s="19">
        <f>H14-H15</f>
        <v/>
      </c>
    </row>
    <row r="17">
      <c r="A17" s="2" t="inlineStr">
        <is>
          <t>People costs</t>
        </is>
      </c>
      <c r="B17" s="20">
        <f>(Assumptions!D20*Assumptions!$C$20+(ROUND(Assumptions!D21*$B$8,0)*0.6)*Assumptions!$C$21+(ROUND(Assumptions!D22*$B$8,0)*0.6)*Assumptions!$C$22+(ROUND(Assumptions!D23*$B$8,0)*0.6)*Assumptions!$C$23+(ROUND(Assumptions!D24*$B$8,0)*0.6)*Assumptions!$C$24+(ROUND(Assumptions!D25*$B$8,0)*0.6)*Assumptions!$C$25+(ROUND(Assumptions!D26*$B$8,0)*0.6)*Assumptions!$C$26+(ROUND(Assumptions!D27*$B$8,0)*0.6)*Assumptions!$C$27+(ROUND(Assumptions!D28*$B$8,0)*0.6)*Assumptions!$C$28)*(1+Assumptions!$B$4)^0/1000</f>
        <v/>
      </c>
      <c r="C17" s="20">
        <f>(((Assumptions!D20+Assumptions!E20)/2)*Assumptions!$C$20+((ROUND(Assumptions!D21*$B$8,0)+ROUND(Assumptions!E21*$B$8,0))/2)*Assumptions!$C$21+((ROUND(Assumptions!D22*$B$8,0)+ROUND(Assumptions!E22*$B$8,0))/2)*Assumptions!$C$22+((ROUND(Assumptions!D23*$B$8,0)+ROUND(Assumptions!E23*$B$8,0))/2)*Assumptions!$C$23+((ROUND(Assumptions!D24*$B$8,0)+ROUND(Assumptions!E24*$B$8,0))/2)*Assumptions!$C$24+((ROUND(Assumptions!D25*$B$8,0)+ROUND(Assumptions!E25*$B$8,0))/2)*Assumptions!$C$25+((ROUND(Assumptions!D26*$B$8,0)+ROUND(Assumptions!E26*$B$8,0))/2)*Assumptions!$C$26+((ROUND(Assumptions!D27*$B$8,0)+ROUND(Assumptions!E27*$B$8,0))/2)*Assumptions!$C$27+((ROUND(Assumptions!D28*$B$8,0)+ROUND(Assumptions!E28*$B$8,0))/2)*Assumptions!$C$28)*(1+Assumptions!$B$4)^1/1000</f>
        <v/>
      </c>
      <c r="D17" s="20">
        <f>(((Assumptions!E20+Assumptions!F20)/2)*Assumptions!$C$20+((ROUND(Assumptions!E21*$B$8,0)+ROUND(Assumptions!F21*$B$8,0))/2)*Assumptions!$C$21+((ROUND(Assumptions!E22*$B$8,0)+ROUND(Assumptions!F22*$B$8,0))/2)*Assumptions!$C$22+((ROUND(Assumptions!E23*$B$8,0)+ROUND(Assumptions!F23*$B$8,0))/2)*Assumptions!$C$23+((ROUND(Assumptions!E24*$B$8,0)+ROUND(Assumptions!F24*$B$8,0))/2)*Assumptions!$C$24+((ROUND(Assumptions!E25*$B$8,0)+ROUND(Assumptions!F25*$B$8,0))/2)*Assumptions!$C$25+((ROUND(Assumptions!E26*$B$8,0)+ROUND(Assumptions!F26*$B$8,0))/2)*Assumptions!$C$26+((ROUND(Assumptions!E27*$B$8,0)+ROUND(Assumptions!F27*$B$8,0))/2)*Assumptions!$C$27+((ROUND(Assumptions!E28*$B$8,0)+ROUND(Assumptions!F28*$B$8,0))/2)*Assumptions!$C$28)*(1+Assumptions!$B$4)^2/1000</f>
        <v/>
      </c>
      <c r="E17" s="20">
        <f>(((Assumptions!F20+Assumptions!G20)/2)*Assumptions!$C$20+((ROUND(Assumptions!F21*$B$8,0)+ROUND(Assumptions!G21*$B$8,0))/2)*Assumptions!$C$21+((ROUND(Assumptions!F22*$B$8,0)+ROUND(Assumptions!G22*$B$8,0))/2)*Assumptions!$C$22+((ROUND(Assumptions!F23*$B$8,0)+ROUND(Assumptions!G23*$B$8,0))/2)*Assumptions!$C$23+((ROUND(Assumptions!F24*$B$8,0)+ROUND(Assumptions!G24*$B$8,0))/2)*Assumptions!$C$24+((ROUND(Assumptions!F25*$B$8,0)+ROUND(Assumptions!G25*$B$8,0))/2)*Assumptions!$C$25+((ROUND(Assumptions!F26*$B$8,0)+ROUND(Assumptions!G26*$B$8,0))/2)*Assumptions!$C$26+((ROUND(Assumptions!F27*$B$8,0)+ROUND(Assumptions!G27*$B$8,0))/2)*Assumptions!$C$27+((ROUND(Assumptions!F28*$B$8,0)+ROUND(Assumptions!G28*$B$8,0))/2)*Assumptions!$C$28)*(1+Assumptions!$B$4)^3/1000</f>
        <v/>
      </c>
      <c r="F17" s="20">
        <f>(((Assumptions!G20+Assumptions!H20)/2)*Assumptions!$C$20+((ROUND(Assumptions!G21*$B$8,0)+ROUND(Assumptions!H21*$B$8,0))/2)*Assumptions!$C$21+((ROUND(Assumptions!G22*$B$8,0)+ROUND(Assumptions!H22*$B$8,0))/2)*Assumptions!$C$22+((ROUND(Assumptions!G23*$B$8,0)+ROUND(Assumptions!H23*$B$8,0))/2)*Assumptions!$C$23+((ROUND(Assumptions!G24*$B$8,0)+ROUND(Assumptions!H24*$B$8,0))/2)*Assumptions!$C$24+((ROUND(Assumptions!G25*$B$8,0)+ROUND(Assumptions!H25*$B$8,0))/2)*Assumptions!$C$25+((ROUND(Assumptions!G26*$B$8,0)+ROUND(Assumptions!H26*$B$8,0))/2)*Assumptions!$C$26+((ROUND(Assumptions!G27*$B$8,0)+ROUND(Assumptions!H27*$B$8,0))/2)*Assumptions!$C$27+((ROUND(Assumptions!G28*$B$8,0)+ROUND(Assumptions!H28*$B$8,0))/2)*Assumptions!$C$28)*(1+Assumptions!$B$4)^4/1000</f>
        <v/>
      </c>
      <c r="G17" s="20">
        <f>(((Assumptions!H20+Assumptions!I20)/2)*Assumptions!$C$20+((ROUND(Assumptions!H21*$B$8,0)+ROUND(Assumptions!I21*$B$8,0))/2)*Assumptions!$C$21+((ROUND(Assumptions!H22*$B$8,0)+ROUND(Assumptions!I22*$B$8,0))/2)*Assumptions!$C$22+((ROUND(Assumptions!H23*$B$8,0)+ROUND(Assumptions!I23*$B$8,0))/2)*Assumptions!$C$23+((ROUND(Assumptions!H24*$B$8,0)+ROUND(Assumptions!I24*$B$8,0))/2)*Assumptions!$C$24+((ROUND(Assumptions!H25*$B$8,0)+ROUND(Assumptions!I25*$B$8,0))/2)*Assumptions!$C$25+((ROUND(Assumptions!H26*$B$8,0)+ROUND(Assumptions!I26*$B$8,0))/2)*Assumptions!$C$26+((ROUND(Assumptions!H27*$B$8,0)+ROUND(Assumptions!I27*$B$8,0))/2)*Assumptions!$C$27+((ROUND(Assumptions!H28*$B$8,0)+ROUND(Assumptions!I28*$B$8,0))/2)*Assumptions!$C$28)*(1+Assumptions!$B$4)^5/1000</f>
        <v/>
      </c>
      <c r="H17" s="20">
        <f>(((Assumptions!I20+Assumptions!J20)/2)*Assumptions!$C$20+((ROUND(Assumptions!I21*$B$8,0)+ROUND(Assumptions!J21*$B$8,0))/2)*Assumptions!$C$21+((ROUND(Assumptions!I22*$B$8,0)+ROUND(Assumptions!J22*$B$8,0))/2)*Assumptions!$C$22+((ROUND(Assumptions!I23*$B$8,0)+ROUND(Assumptions!J23*$B$8,0))/2)*Assumptions!$C$23+((ROUND(Assumptions!I24*$B$8,0)+ROUND(Assumptions!J24*$B$8,0))/2)*Assumptions!$C$24+((ROUND(Assumptions!I25*$B$8,0)+ROUND(Assumptions!J25*$B$8,0))/2)*Assumptions!$C$25+((ROUND(Assumptions!I26*$B$8,0)+ROUND(Assumptions!J26*$B$8,0))/2)*Assumptions!$C$26+((ROUND(Assumptions!I27*$B$8,0)+ROUND(Assumptions!J27*$B$8,0))/2)*Assumptions!$C$27+((ROUND(Assumptions!I28*$B$8,0)+ROUND(Assumptions!J28*$B$8,0))/2)*Assumptions!$C$28)*(1+Assumptions!$B$4)^6/1000</f>
        <v/>
      </c>
    </row>
    <row r="18">
      <c r="A18" s="2" t="inlineStr">
        <is>
          <t>Other operating costs</t>
        </is>
      </c>
      <c r="B18" s="20">
        <f>SUM(Assumptions!D32:D37)*1/1000</f>
        <v/>
      </c>
      <c r="C18" s="20">
        <f>SUM(Assumptions!E32:E37)*$B$8/1000</f>
        <v/>
      </c>
      <c r="D18" s="20">
        <f>SUM(Assumptions!F32:F37)*$B$8/1000</f>
        <v/>
      </c>
      <c r="E18" s="20">
        <f>SUM(Assumptions!G32:G37)*$B$8/1000</f>
        <v/>
      </c>
      <c r="F18" s="20">
        <f>SUM(Assumptions!H32:H37)*$B$8/1000</f>
        <v/>
      </c>
      <c r="G18" s="20">
        <f>SUM(Assumptions!I32:I37)*$B$8/1000</f>
        <v/>
      </c>
      <c r="H18" s="20">
        <f>SUM(Assumptions!J32:J37)*$B$8/1000</f>
        <v/>
      </c>
    </row>
    <row r="19">
      <c r="A19" s="12" t="inlineStr">
        <is>
          <t>Total operating costs</t>
        </is>
      </c>
      <c r="B19" s="19">
        <f>B17+B18</f>
        <v/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9">
        <f>G17+G18</f>
        <v/>
      </c>
      <c r="H19" s="19">
        <f>H17+H18</f>
        <v/>
      </c>
    </row>
    <row r="20">
      <c r="A20" s="12" t="inlineStr">
        <is>
          <t>EBITDA</t>
        </is>
      </c>
      <c r="B20" s="19">
        <f>B16-B19</f>
        <v/>
      </c>
      <c r="C20" s="19">
        <f>C16-C19</f>
        <v/>
      </c>
      <c r="D20" s="19">
        <f>D16-D19</f>
        <v/>
      </c>
      <c r="E20" s="19">
        <f>E16-E19</f>
        <v/>
      </c>
      <c r="F20" s="19">
        <f>F16-F19</f>
        <v/>
      </c>
      <c r="G20" s="19">
        <f>G16-G19</f>
        <v/>
      </c>
      <c r="H20" s="19">
        <f>H16-H19</f>
        <v/>
      </c>
    </row>
    <row r="21">
      <c r="A21" s="2" t="inlineStr">
        <is>
          <t>EBITDA margin</t>
        </is>
      </c>
      <c r="B21" s="21">
        <f>IF(B14=0,0,B20/B14)</f>
        <v/>
      </c>
      <c r="C21" s="21">
        <f>IF(C14=0,0,C20/C14)</f>
        <v/>
      </c>
      <c r="D21" s="21">
        <f>IF(D14=0,0,D20/D14)</f>
        <v/>
      </c>
      <c r="E21" s="21">
        <f>IF(E14=0,0,E20/E14)</f>
        <v/>
      </c>
      <c r="F21" s="21">
        <f>IF(F14=0,0,F20/F14)</f>
        <v/>
      </c>
      <c r="G21" s="21">
        <f>IF(G14=0,0,G20/G14)</f>
        <v/>
      </c>
      <c r="H21" s="21">
        <f>IF(H14=0,0,H20/H14)</f>
        <v/>
      </c>
    </row>
    <row r="22">
      <c r="A22" s="12" t="inlineStr">
        <is>
          <t>ARR at year end</t>
        </is>
      </c>
      <c r="B22" s="19">
        <f>B10*B11/1000</f>
        <v/>
      </c>
      <c r="C22" s="19">
        <f>C10*C11/1000</f>
        <v/>
      </c>
      <c r="D22" s="19">
        <f>D10*D11/1000</f>
        <v/>
      </c>
      <c r="E22" s="19">
        <f>E10*E11/1000</f>
        <v/>
      </c>
      <c r="F22" s="19">
        <f>F10*F11/1000</f>
        <v/>
      </c>
      <c r="G22" s="19">
        <f>G10*G11/1000</f>
        <v/>
      </c>
      <c r="H22" s="19">
        <f>H10*H11/1000</f>
        <v/>
      </c>
    </row>
    <row r="23">
      <c r="A23" s="2" t="inlineStr">
        <is>
          <t>Headcount at year end</t>
        </is>
      </c>
      <c r="B23" s="16">
        <f>Assumptions!D20+ROUND(Assumptions!D21*$B$8,0)+ROUND(Assumptions!D22*$B$8,0)+ROUND(Assumptions!D23*$B$8,0)+ROUND(Assumptions!D24*$B$8,0)+ROUND(Assumptions!D25*$B$8,0)+ROUND(Assumptions!D26*$B$8,0)+ROUND(Assumptions!D27*$B$8,0)+ROUND(Assumptions!D28*$B$8,0)</f>
        <v/>
      </c>
      <c r="C23" s="16">
        <f>Assumptions!E20+ROUND(Assumptions!E21*$B$8,0)+ROUND(Assumptions!E22*$B$8,0)+ROUND(Assumptions!E23*$B$8,0)+ROUND(Assumptions!E24*$B$8,0)+ROUND(Assumptions!E25*$B$8,0)+ROUND(Assumptions!E26*$B$8,0)+ROUND(Assumptions!E27*$B$8,0)+ROUND(Assumptions!E28*$B$8,0)</f>
        <v/>
      </c>
      <c r="D23" s="16">
        <f>Assumptions!F20+ROUND(Assumptions!F21*$B$8,0)+ROUND(Assumptions!F22*$B$8,0)+ROUND(Assumptions!F23*$B$8,0)+ROUND(Assumptions!F24*$B$8,0)+ROUND(Assumptions!F25*$B$8,0)+ROUND(Assumptions!F26*$B$8,0)+ROUND(Assumptions!F27*$B$8,0)+ROUND(Assumptions!F28*$B$8,0)</f>
        <v/>
      </c>
      <c r="E23" s="16">
        <f>Assumptions!G20+ROUND(Assumptions!G21*$B$8,0)+ROUND(Assumptions!G22*$B$8,0)+ROUND(Assumptions!G23*$B$8,0)+ROUND(Assumptions!G24*$B$8,0)+ROUND(Assumptions!G25*$B$8,0)+ROUND(Assumptions!G26*$B$8,0)+ROUND(Assumptions!G27*$B$8,0)+ROUND(Assumptions!G28*$B$8,0)</f>
        <v/>
      </c>
      <c r="F23" s="16">
        <f>Assumptions!H20+ROUND(Assumptions!H21*$B$8,0)+ROUND(Assumptions!H22*$B$8,0)+ROUND(Assumptions!H23*$B$8,0)+ROUND(Assumptions!H24*$B$8,0)+ROUND(Assumptions!H25*$B$8,0)+ROUND(Assumptions!H26*$B$8,0)+ROUND(Assumptions!H27*$B$8,0)+ROUND(Assumptions!H28*$B$8,0)</f>
        <v/>
      </c>
      <c r="G23" s="16">
        <f>Assumptions!I20+ROUND(Assumptions!I21*$B$8,0)+ROUND(Assumptions!I22*$B$8,0)+ROUND(Assumptions!I23*$B$8,0)+ROUND(Assumptions!I24*$B$8,0)+ROUND(Assumptions!I25*$B$8,0)+ROUND(Assumptions!I26*$B$8,0)+ROUND(Assumptions!I27*$B$8,0)+ROUND(Assumptions!I28*$B$8,0)</f>
        <v/>
      </c>
      <c r="H23" s="16">
        <f>Assumptions!J20+ROUND(Assumptions!J21*$B$8,0)+ROUND(Assumptions!J22*$B$8,0)+ROUND(Assumptions!J23*$B$8,0)+ROUND(Assumptions!J24*$B$8,0)+ROUND(Assumptions!J25*$B$8,0)+ROUND(Assumptions!J26*$B$8,0)+ROUND(Assumptions!J27*$B$8,0)+ROUND(Assumptions!J28*$B$8,0)</f>
        <v/>
      </c>
    </row>
    <row r="24">
      <c r="A24" s="2" t="inlineStr">
        <is>
          <t>Sales and marketing cost</t>
        </is>
      </c>
      <c r="B24" s="20">
        <f>((ROUND(Assumptions!D24*$B$8,0)*0.6)*Assumptions!$C$24+(ROUND(Assumptions!D25*$B$8,0)*0.6)*Assumptions!$C$25+(ROUND(Assumptions!D27*$B$8,0)*0.6)*Assumptions!$C$27)*(1+Assumptions!$B$4)^0/1000+(Assumptions!D35+Assumptions!D36)*1/1000</f>
        <v/>
      </c>
      <c r="C24" s="20">
        <f>(((ROUND(Assumptions!D24*$B$8,0)+ROUND(Assumptions!E24*$B$8,0))/2)*Assumptions!$C$24+((ROUND(Assumptions!D25*$B$8,0)+ROUND(Assumptions!E25*$B$8,0))/2)*Assumptions!$C$25+((ROUND(Assumptions!D27*$B$8,0)+ROUND(Assumptions!E27*$B$8,0))/2)*Assumptions!$C$27)*(1+Assumptions!$B$4)^1/1000+(Assumptions!E35+Assumptions!E36)*$B$8/1000</f>
        <v/>
      </c>
      <c r="D24" s="20">
        <f>(((ROUND(Assumptions!E24*$B$8,0)+ROUND(Assumptions!F24*$B$8,0))/2)*Assumptions!$C$24+((ROUND(Assumptions!E25*$B$8,0)+ROUND(Assumptions!F25*$B$8,0))/2)*Assumptions!$C$25+((ROUND(Assumptions!E27*$B$8,0)+ROUND(Assumptions!F27*$B$8,0))/2)*Assumptions!$C$27)*(1+Assumptions!$B$4)^2/1000+(Assumptions!F35+Assumptions!F36)*$B$8/1000</f>
        <v/>
      </c>
      <c r="E24" s="20">
        <f>(((ROUND(Assumptions!F24*$B$8,0)+ROUND(Assumptions!G24*$B$8,0))/2)*Assumptions!$C$24+((ROUND(Assumptions!F25*$B$8,0)+ROUND(Assumptions!G25*$B$8,0))/2)*Assumptions!$C$25+((ROUND(Assumptions!F27*$B$8,0)+ROUND(Assumptions!G27*$B$8,0))/2)*Assumptions!$C$27)*(1+Assumptions!$B$4)^3/1000+(Assumptions!G35+Assumptions!G36)*$B$8/1000</f>
        <v/>
      </c>
      <c r="F24" s="20">
        <f>(((ROUND(Assumptions!G24*$B$8,0)+ROUND(Assumptions!H24*$B$8,0))/2)*Assumptions!$C$24+((ROUND(Assumptions!G25*$B$8,0)+ROUND(Assumptions!H25*$B$8,0))/2)*Assumptions!$C$25+((ROUND(Assumptions!G27*$B$8,0)+ROUND(Assumptions!H27*$B$8,0))/2)*Assumptions!$C$27)*(1+Assumptions!$B$4)^4/1000+(Assumptions!H35+Assumptions!H36)*$B$8/1000</f>
        <v/>
      </c>
      <c r="G24" s="20">
        <f>(((ROUND(Assumptions!H24*$B$8,0)+ROUND(Assumptions!I24*$B$8,0))/2)*Assumptions!$C$24+((ROUND(Assumptions!H25*$B$8,0)+ROUND(Assumptions!I25*$B$8,0))/2)*Assumptions!$C$25+((ROUND(Assumptions!H27*$B$8,0)+ROUND(Assumptions!I27*$B$8,0))/2)*Assumptions!$C$27)*(1+Assumptions!$B$4)^5/1000+(Assumptions!I35+Assumptions!I36)*$B$8/1000</f>
        <v/>
      </c>
      <c r="H24" s="20">
        <f>(((ROUND(Assumptions!I24*$B$8,0)+ROUND(Assumptions!J24*$B$8,0))/2)*Assumptions!$C$24+((ROUND(Assumptions!I25*$B$8,0)+ROUND(Assumptions!J25*$B$8,0))/2)*Assumptions!$C$25+((ROUND(Assumptions!I27*$B$8,0)+ROUND(Assumptions!J27*$B$8,0))/2)*Assumptions!$C$27)*(1+Assumptions!$B$4)^6/1000+(Assumptions!J35+Assumptions!J36)*$B$8/1000</f>
        <v/>
      </c>
    </row>
    <row r="25">
      <c r="A25" s="2" t="inlineStr">
        <is>
          <t>Sales and marketing cost per $1 of new ARR</t>
        </is>
      </c>
      <c r="B25" s="22">
        <f>IF(B5=0,0,B24/(B5*B11/1000))</f>
        <v/>
      </c>
      <c r="C25" s="22">
        <f>IF(C5=0,0,C24/(C5*C11/1000))</f>
        <v/>
      </c>
      <c r="D25" s="22">
        <f>IF(D5=0,0,D24/(D5*D11/1000))</f>
        <v/>
      </c>
      <c r="E25" s="22">
        <f>IF(E5=0,0,E24/(E5*E11/1000))</f>
        <v/>
      </c>
      <c r="F25" s="22">
        <f>IF(F5=0,0,F24/(F5*F11/1000))</f>
        <v/>
      </c>
      <c r="G25" s="22">
        <f>IF(G5=0,0,G24/(G5*G11/1000))</f>
        <v/>
      </c>
      <c r="H25" s="22">
        <f>IF(H5=0,0,H24/(H5*H11/1000))</f>
        <v/>
      </c>
      <c r="I25" s="7" t="inlineStr">
        <is>
          <t>2024 median $2.00 (Benchmarkit 2025 report, B); key plan risk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</cols>
  <sheetData>
    <row r="1">
      <c r="A1" s="1" t="inlineStr">
        <is>
          <t>Monthly ARR and EBITDA, used to size the rounds</t>
        </is>
      </c>
    </row>
    <row r="3">
      <c r="A3" s="4" t="inlineStr">
        <is>
          <t>Month</t>
        </is>
      </c>
      <c r="B3" s="5" t="inlineStr">
        <is>
          <t>Year</t>
        </is>
      </c>
      <c r="C3" s="5" t="inlineStr">
        <is>
          <t>Base ARR $M</t>
        </is>
      </c>
      <c r="D3" s="5" t="inlineStr">
        <is>
          <t>Base EBITDA $M</t>
        </is>
      </c>
      <c r="E3" s="5" t="inlineStr">
        <is>
          <t>Upside ARR</t>
        </is>
      </c>
      <c r="F3" s="5" t="inlineStr">
        <is>
          <t>Upside EBITDA</t>
        </is>
      </c>
      <c r="G3" s="5" t="inlineStr">
        <is>
          <t>Downside ARR</t>
        </is>
      </c>
      <c r="H3" s="5" t="inlineStr">
        <is>
          <t>Downside EBITDA</t>
        </is>
      </c>
    </row>
    <row r="4">
      <c r="A4" t="n">
        <v>1</v>
      </c>
      <c r="B4" t="n">
        <v>1</v>
      </c>
      <c r="C4" s="23">
        <f>0+('Base'!B22-0)*(1-0)/12</f>
        <v/>
      </c>
      <c r="D4" s="23">
        <f>'Base'!B20/12</f>
        <v/>
      </c>
      <c r="E4" s="23">
        <f>0+('Upside'!B22-0)*(1-0)/12</f>
        <v/>
      </c>
      <c r="F4" s="23">
        <f>'Upside'!B20/12</f>
        <v/>
      </c>
      <c r="G4" s="23">
        <f>0+('Downside'!B22-0)*(1-0)/12</f>
        <v/>
      </c>
      <c r="H4" s="23">
        <f>'Downside'!B20/12</f>
        <v/>
      </c>
    </row>
    <row r="5">
      <c r="A5" t="n">
        <v>2</v>
      </c>
      <c r="B5" t="n">
        <v>1</v>
      </c>
      <c r="C5" s="23">
        <f>0+('Base'!B22-0)*(2-0)/12</f>
        <v/>
      </c>
      <c r="D5" s="23">
        <f>'Base'!B20/12</f>
        <v/>
      </c>
      <c r="E5" s="23">
        <f>0+('Upside'!B22-0)*(2-0)/12</f>
        <v/>
      </c>
      <c r="F5" s="23">
        <f>'Upside'!B20/12</f>
        <v/>
      </c>
      <c r="G5" s="23">
        <f>0+('Downside'!B22-0)*(2-0)/12</f>
        <v/>
      </c>
      <c r="H5" s="23">
        <f>'Downside'!B20/12</f>
        <v/>
      </c>
    </row>
    <row r="6">
      <c r="A6" t="n">
        <v>3</v>
      </c>
      <c r="B6" t="n">
        <v>1</v>
      </c>
      <c r="C6" s="23">
        <f>0+('Base'!B22-0)*(3-0)/12</f>
        <v/>
      </c>
      <c r="D6" s="23">
        <f>'Base'!B20/12</f>
        <v/>
      </c>
      <c r="E6" s="23">
        <f>0+('Upside'!B22-0)*(3-0)/12</f>
        <v/>
      </c>
      <c r="F6" s="23">
        <f>'Upside'!B20/12</f>
        <v/>
      </c>
      <c r="G6" s="23">
        <f>0+('Downside'!B22-0)*(3-0)/12</f>
        <v/>
      </c>
      <c r="H6" s="23">
        <f>'Downside'!B20/12</f>
        <v/>
      </c>
    </row>
    <row r="7">
      <c r="A7" t="n">
        <v>4</v>
      </c>
      <c r="B7" t="n">
        <v>1</v>
      </c>
      <c r="C7" s="23">
        <f>0+('Base'!B22-0)*(4-0)/12</f>
        <v/>
      </c>
      <c r="D7" s="23">
        <f>'Base'!B20/12</f>
        <v/>
      </c>
      <c r="E7" s="23">
        <f>0+('Upside'!B22-0)*(4-0)/12</f>
        <v/>
      </c>
      <c r="F7" s="23">
        <f>'Upside'!B20/12</f>
        <v/>
      </c>
      <c r="G7" s="23">
        <f>0+('Downside'!B22-0)*(4-0)/12</f>
        <v/>
      </c>
      <c r="H7" s="23">
        <f>'Downside'!B20/12</f>
        <v/>
      </c>
    </row>
    <row r="8">
      <c r="A8" t="n">
        <v>5</v>
      </c>
      <c r="B8" t="n">
        <v>1</v>
      </c>
      <c r="C8" s="23">
        <f>0+('Base'!B22-0)*(5-0)/12</f>
        <v/>
      </c>
      <c r="D8" s="23">
        <f>'Base'!B20/12</f>
        <v/>
      </c>
      <c r="E8" s="23">
        <f>0+('Upside'!B22-0)*(5-0)/12</f>
        <v/>
      </c>
      <c r="F8" s="23">
        <f>'Upside'!B20/12</f>
        <v/>
      </c>
      <c r="G8" s="23">
        <f>0+('Downside'!B22-0)*(5-0)/12</f>
        <v/>
      </c>
      <c r="H8" s="23">
        <f>'Downside'!B20/12</f>
        <v/>
      </c>
    </row>
    <row r="9">
      <c r="A9" t="n">
        <v>6</v>
      </c>
      <c r="B9" t="n">
        <v>1</v>
      </c>
      <c r="C9" s="23">
        <f>0+('Base'!B22-0)*(6-0)/12</f>
        <v/>
      </c>
      <c r="D9" s="23">
        <f>'Base'!B20/12</f>
        <v/>
      </c>
      <c r="E9" s="23">
        <f>0+('Upside'!B22-0)*(6-0)/12</f>
        <v/>
      </c>
      <c r="F9" s="23">
        <f>'Upside'!B20/12</f>
        <v/>
      </c>
      <c r="G9" s="23">
        <f>0+('Downside'!B22-0)*(6-0)/12</f>
        <v/>
      </c>
      <c r="H9" s="23">
        <f>'Downside'!B20/12</f>
        <v/>
      </c>
    </row>
    <row r="10">
      <c r="A10" t="n">
        <v>7</v>
      </c>
      <c r="B10" t="n">
        <v>1</v>
      </c>
      <c r="C10" s="23">
        <f>0+('Base'!B22-0)*(7-0)/12</f>
        <v/>
      </c>
      <c r="D10" s="23">
        <f>'Base'!B20/12</f>
        <v/>
      </c>
      <c r="E10" s="23">
        <f>0+('Upside'!B22-0)*(7-0)/12</f>
        <v/>
      </c>
      <c r="F10" s="23">
        <f>'Upside'!B20/12</f>
        <v/>
      </c>
      <c r="G10" s="23">
        <f>0+('Downside'!B22-0)*(7-0)/12</f>
        <v/>
      </c>
      <c r="H10" s="23">
        <f>'Downside'!B20/12</f>
        <v/>
      </c>
    </row>
    <row r="11">
      <c r="A11" t="n">
        <v>8</v>
      </c>
      <c r="B11" t="n">
        <v>1</v>
      </c>
      <c r="C11" s="23">
        <f>0+('Base'!B22-0)*(8-0)/12</f>
        <v/>
      </c>
      <c r="D11" s="23">
        <f>'Base'!B20/12</f>
        <v/>
      </c>
      <c r="E11" s="23">
        <f>0+('Upside'!B22-0)*(8-0)/12</f>
        <v/>
      </c>
      <c r="F11" s="23">
        <f>'Upside'!B20/12</f>
        <v/>
      </c>
      <c r="G11" s="23">
        <f>0+('Downside'!B22-0)*(8-0)/12</f>
        <v/>
      </c>
      <c r="H11" s="23">
        <f>'Downside'!B20/12</f>
        <v/>
      </c>
    </row>
    <row r="12">
      <c r="A12" t="n">
        <v>9</v>
      </c>
      <c r="B12" t="n">
        <v>1</v>
      </c>
      <c r="C12" s="23">
        <f>0+('Base'!B22-0)*(9-0)/12</f>
        <v/>
      </c>
      <c r="D12" s="23">
        <f>'Base'!B20/12</f>
        <v/>
      </c>
      <c r="E12" s="23">
        <f>0+('Upside'!B22-0)*(9-0)/12</f>
        <v/>
      </c>
      <c r="F12" s="23">
        <f>'Upside'!B20/12</f>
        <v/>
      </c>
      <c r="G12" s="23">
        <f>0+('Downside'!B22-0)*(9-0)/12</f>
        <v/>
      </c>
      <c r="H12" s="23">
        <f>'Downside'!B20/12</f>
        <v/>
      </c>
    </row>
    <row r="13">
      <c r="A13" t="n">
        <v>10</v>
      </c>
      <c r="B13" t="n">
        <v>1</v>
      </c>
      <c r="C13" s="23">
        <f>0+('Base'!B22-0)*(10-0)/12</f>
        <v/>
      </c>
      <c r="D13" s="23">
        <f>'Base'!B20/12</f>
        <v/>
      </c>
      <c r="E13" s="23">
        <f>0+('Upside'!B22-0)*(10-0)/12</f>
        <v/>
      </c>
      <c r="F13" s="23">
        <f>'Upside'!B20/12</f>
        <v/>
      </c>
      <c r="G13" s="23">
        <f>0+('Downside'!B22-0)*(10-0)/12</f>
        <v/>
      </c>
      <c r="H13" s="23">
        <f>'Downside'!B20/12</f>
        <v/>
      </c>
    </row>
    <row r="14">
      <c r="A14" t="n">
        <v>11</v>
      </c>
      <c r="B14" t="n">
        <v>1</v>
      </c>
      <c r="C14" s="23">
        <f>0+('Base'!B22-0)*(11-0)/12</f>
        <v/>
      </c>
      <c r="D14" s="23">
        <f>'Base'!B20/12</f>
        <v/>
      </c>
      <c r="E14" s="23">
        <f>0+('Upside'!B22-0)*(11-0)/12</f>
        <v/>
      </c>
      <c r="F14" s="23">
        <f>'Upside'!B20/12</f>
        <v/>
      </c>
      <c r="G14" s="23">
        <f>0+('Downside'!B22-0)*(11-0)/12</f>
        <v/>
      </c>
      <c r="H14" s="23">
        <f>'Downside'!B20/12</f>
        <v/>
      </c>
    </row>
    <row r="15">
      <c r="A15" t="n">
        <v>12</v>
      </c>
      <c r="B15" t="n">
        <v>1</v>
      </c>
      <c r="C15" s="23">
        <f>0+('Base'!B22-0)*(12-0)/12</f>
        <v/>
      </c>
      <c r="D15" s="23">
        <f>'Base'!B20/12</f>
        <v/>
      </c>
      <c r="E15" s="23">
        <f>0+('Upside'!B22-0)*(12-0)/12</f>
        <v/>
      </c>
      <c r="F15" s="23">
        <f>'Upside'!B20/12</f>
        <v/>
      </c>
      <c r="G15" s="23">
        <f>0+('Downside'!B22-0)*(12-0)/12</f>
        <v/>
      </c>
      <c r="H15" s="23">
        <f>'Downside'!B20/12</f>
        <v/>
      </c>
    </row>
    <row r="16">
      <c r="A16" t="n">
        <v>13</v>
      </c>
      <c r="B16" t="n">
        <v>2</v>
      </c>
      <c r="C16" s="23">
        <f>'Base'!B22+('Base'!C22-'Base'!B22)*(13-12)/12</f>
        <v/>
      </c>
      <c r="D16" s="23">
        <f>'Base'!C20/12</f>
        <v/>
      </c>
      <c r="E16" s="23">
        <f>'Upside'!B22+('Upside'!C22-'Upside'!B22)*(13-12)/12</f>
        <v/>
      </c>
      <c r="F16" s="23">
        <f>'Upside'!C20/12</f>
        <v/>
      </c>
      <c r="G16" s="23">
        <f>'Downside'!B22+('Downside'!C22-'Downside'!B22)*(13-12)/12</f>
        <v/>
      </c>
      <c r="H16" s="23">
        <f>'Downside'!C20/12</f>
        <v/>
      </c>
    </row>
    <row r="17">
      <c r="A17" t="n">
        <v>14</v>
      </c>
      <c r="B17" t="n">
        <v>2</v>
      </c>
      <c r="C17" s="23">
        <f>'Base'!B22+('Base'!C22-'Base'!B22)*(14-12)/12</f>
        <v/>
      </c>
      <c r="D17" s="23">
        <f>'Base'!C20/12</f>
        <v/>
      </c>
      <c r="E17" s="23">
        <f>'Upside'!B22+('Upside'!C22-'Upside'!B22)*(14-12)/12</f>
        <v/>
      </c>
      <c r="F17" s="23">
        <f>'Upside'!C20/12</f>
        <v/>
      </c>
      <c r="G17" s="23">
        <f>'Downside'!B22+('Downside'!C22-'Downside'!B22)*(14-12)/12</f>
        <v/>
      </c>
      <c r="H17" s="23">
        <f>'Downside'!C20/12</f>
        <v/>
      </c>
    </row>
    <row r="18">
      <c r="A18" t="n">
        <v>15</v>
      </c>
      <c r="B18" t="n">
        <v>2</v>
      </c>
      <c r="C18" s="23">
        <f>'Base'!B22+('Base'!C22-'Base'!B22)*(15-12)/12</f>
        <v/>
      </c>
      <c r="D18" s="23">
        <f>'Base'!C20/12</f>
        <v/>
      </c>
      <c r="E18" s="23">
        <f>'Upside'!B22+('Upside'!C22-'Upside'!B22)*(15-12)/12</f>
        <v/>
      </c>
      <c r="F18" s="23">
        <f>'Upside'!C20/12</f>
        <v/>
      </c>
      <c r="G18" s="23">
        <f>'Downside'!B22+('Downside'!C22-'Downside'!B22)*(15-12)/12</f>
        <v/>
      </c>
      <c r="H18" s="23">
        <f>'Downside'!C20/12</f>
        <v/>
      </c>
    </row>
    <row r="19">
      <c r="A19" t="n">
        <v>16</v>
      </c>
      <c r="B19" t="n">
        <v>2</v>
      </c>
      <c r="C19" s="23">
        <f>'Base'!B22+('Base'!C22-'Base'!B22)*(16-12)/12</f>
        <v/>
      </c>
      <c r="D19" s="23">
        <f>'Base'!C20/12</f>
        <v/>
      </c>
      <c r="E19" s="23">
        <f>'Upside'!B22+('Upside'!C22-'Upside'!B22)*(16-12)/12</f>
        <v/>
      </c>
      <c r="F19" s="23">
        <f>'Upside'!C20/12</f>
        <v/>
      </c>
      <c r="G19" s="23">
        <f>'Downside'!B22+('Downside'!C22-'Downside'!B22)*(16-12)/12</f>
        <v/>
      </c>
      <c r="H19" s="23">
        <f>'Downside'!C20/12</f>
        <v/>
      </c>
    </row>
    <row r="20">
      <c r="A20" t="n">
        <v>17</v>
      </c>
      <c r="B20" t="n">
        <v>2</v>
      </c>
      <c r="C20" s="23">
        <f>'Base'!B22+('Base'!C22-'Base'!B22)*(17-12)/12</f>
        <v/>
      </c>
      <c r="D20" s="23">
        <f>'Base'!C20/12</f>
        <v/>
      </c>
      <c r="E20" s="23">
        <f>'Upside'!B22+('Upside'!C22-'Upside'!B22)*(17-12)/12</f>
        <v/>
      </c>
      <c r="F20" s="23">
        <f>'Upside'!C20/12</f>
        <v/>
      </c>
      <c r="G20" s="23">
        <f>'Downside'!B22+('Downside'!C22-'Downside'!B22)*(17-12)/12</f>
        <v/>
      </c>
      <c r="H20" s="23">
        <f>'Downside'!C20/12</f>
        <v/>
      </c>
    </row>
    <row r="21">
      <c r="A21" t="n">
        <v>18</v>
      </c>
      <c r="B21" t="n">
        <v>2</v>
      </c>
      <c r="C21" s="23">
        <f>'Base'!B22+('Base'!C22-'Base'!B22)*(18-12)/12</f>
        <v/>
      </c>
      <c r="D21" s="23">
        <f>'Base'!C20/12</f>
        <v/>
      </c>
      <c r="E21" s="23">
        <f>'Upside'!B22+('Upside'!C22-'Upside'!B22)*(18-12)/12</f>
        <v/>
      </c>
      <c r="F21" s="23">
        <f>'Upside'!C20/12</f>
        <v/>
      </c>
      <c r="G21" s="23">
        <f>'Downside'!B22+('Downside'!C22-'Downside'!B22)*(18-12)/12</f>
        <v/>
      </c>
      <c r="H21" s="23">
        <f>'Downside'!C20/12</f>
        <v/>
      </c>
    </row>
    <row r="22">
      <c r="A22" t="n">
        <v>19</v>
      </c>
      <c r="B22" t="n">
        <v>2</v>
      </c>
      <c r="C22" s="23">
        <f>'Base'!B22+('Base'!C22-'Base'!B22)*(19-12)/12</f>
        <v/>
      </c>
      <c r="D22" s="23">
        <f>'Base'!C20/12</f>
        <v/>
      </c>
      <c r="E22" s="23">
        <f>'Upside'!B22+('Upside'!C22-'Upside'!B22)*(19-12)/12</f>
        <v/>
      </c>
      <c r="F22" s="23">
        <f>'Upside'!C20/12</f>
        <v/>
      </c>
      <c r="G22" s="23">
        <f>'Downside'!B22+('Downside'!C22-'Downside'!B22)*(19-12)/12</f>
        <v/>
      </c>
      <c r="H22" s="23">
        <f>'Downside'!C20/12</f>
        <v/>
      </c>
    </row>
    <row r="23">
      <c r="A23" t="n">
        <v>20</v>
      </c>
      <c r="B23" t="n">
        <v>2</v>
      </c>
      <c r="C23" s="23">
        <f>'Base'!B22+('Base'!C22-'Base'!B22)*(20-12)/12</f>
        <v/>
      </c>
      <c r="D23" s="23">
        <f>'Base'!C20/12</f>
        <v/>
      </c>
      <c r="E23" s="23">
        <f>'Upside'!B22+('Upside'!C22-'Upside'!B22)*(20-12)/12</f>
        <v/>
      </c>
      <c r="F23" s="23">
        <f>'Upside'!C20/12</f>
        <v/>
      </c>
      <c r="G23" s="23">
        <f>'Downside'!B22+('Downside'!C22-'Downside'!B22)*(20-12)/12</f>
        <v/>
      </c>
      <c r="H23" s="23">
        <f>'Downside'!C20/12</f>
        <v/>
      </c>
    </row>
    <row r="24">
      <c r="A24" t="n">
        <v>21</v>
      </c>
      <c r="B24" t="n">
        <v>2</v>
      </c>
      <c r="C24" s="23">
        <f>'Base'!B22+('Base'!C22-'Base'!B22)*(21-12)/12</f>
        <v/>
      </c>
      <c r="D24" s="23">
        <f>'Base'!C20/12</f>
        <v/>
      </c>
      <c r="E24" s="23">
        <f>'Upside'!B22+('Upside'!C22-'Upside'!B22)*(21-12)/12</f>
        <v/>
      </c>
      <c r="F24" s="23">
        <f>'Upside'!C20/12</f>
        <v/>
      </c>
      <c r="G24" s="23">
        <f>'Downside'!B22+('Downside'!C22-'Downside'!B22)*(21-12)/12</f>
        <v/>
      </c>
      <c r="H24" s="23">
        <f>'Downside'!C20/12</f>
        <v/>
      </c>
    </row>
    <row r="25">
      <c r="A25" t="n">
        <v>22</v>
      </c>
      <c r="B25" t="n">
        <v>2</v>
      </c>
      <c r="C25" s="23">
        <f>'Base'!B22+('Base'!C22-'Base'!B22)*(22-12)/12</f>
        <v/>
      </c>
      <c r="D25" s="23">
        <f>'Base'!C20/12</f>
        <v/>
      </c>
      <c r="E25" s="23">
        <f>'Upside'!B22+('Upside'!C22-'Upside'!B22)*(22-12)/12</f>
        <v/>
      </c>
      <c r="F25" s="23">
        <f>'Upside'!C20/12</f>
        <v/>
      </c>
      <c r="G25" s="23">
        <f>'Downside'!B22+('Downside'!C22-'Downside'!B22)*(22-12)/12</f>
        <v/>
      </c>
      <c r="H25" s="23">
        <f>'Downside'!C20/12</f>
        <v/>
      </c>
    </row>
    <row r="26">
      <c r="A26" t="n">
        <v>23</v>
      </c>
      <c r="B26" t="n">
        <v>2</v>
      </c>
      <c r="C26" s="23">
        <f>'Base'!B22+('Base'!C22-'Base'!B22)*(23-12)/12</f>
        <v/>
      </c>
      <c r="D26" s="23">
        <f>'Base'!C20/12</f>
        <v/>
      </c>
      <c r="E26" s="23">
        <f>'Upside'!B22+('Upside'!C22-'Upside'!B22)*(23-12)/12</f>
        <v/>
      </c>
      <c r="F26" s="23">
        <f>'Upside'!C20/12</f>
        <v/>
      </c>
      <c r="G26" s="23">
        <f>'Downside'!B22+('Downside'!C22-'Downside'!B22)*(23-12)/12</f>
        <v/>
      </c>
      <c r="H26" s="23">
        <f>'Downside'!C20/12</f>
        <v/>
      </c>
    </row>
    <row r="27">
      <c r="A27" t="n">
        <v>24</v>
      </c>
      <c r="B27" t="n">
        <v>2</v>
      </c>
      <c r="C27" s="23">
        <f>'Base'!B22+('Base'!C22-'Base'!B22)*(24-12)/12</f>
        <v/>
      </c>
      <c r="D27" s="23">
        <f>'Base'!C20/12</f>
        <v/>
      </c>
      <c r="E27" s="23">
        <f>'Upside'!B22+('Upside'!C22-'Upside'!B22)*(24-12)/12</f>
        <v/>
      </c>
      <c r="F27" s="23">
        <f>'Upside'!C20/12</f>
        <v/>
      </c>
      <c r="G27" s="23">
        <f>'Downside'!B22+('Downside'!C22-'Downside'!B22)*(24-12)/12</f>
        <v/>
      </c>
      <c r="H27" s="23">
        <f>'Downside'!C20/12</f>
        <v/>
      </c>
    </row>
    <row r="28">
      <c r="A28" t="n">
        <v>25</v>
      </c>
      <c r="B28" t="n">
        <v>3</v>
      </c>
      <c r="C28" s="23">
        <f>'Base'!C22+('Base'!D22-'Base'!C22)*(25-24)/12</f>
        <v/>
      </c>
      <c r="D28" s="23">
        <f>'Base'!D20/12</f>
        <v/>
      </c>
      <c r="E28" s="23">
        <f>'Upside'!C22+('Upside'!D22-'Upside'!C22)*(25-24)/12</f>
        <v/>
      </c>
      <c r="F28" s="23">
        <f>'Upside'!D20/12</f>
        <v/>
      </c>
      <c r="G28" s="23">
        <f>'Downside'!C22+('Downside'!D22-'Downside'!C22)*(25-24)/12</f>
        <v/>
      </c>
      <c r="H28" s="23">
        <f>'Downside'!D20/12</f>
        <v/>
      </c>
    </row>
    <row r="29">
      <c r="A29" t="n">
        <v>26</v>
      </c>
      <c r="B29" t="n">
        <v>3</v>
      </c>
      <c r="C29" s="23">
        <f>'Base'!C22+('Base'!D22-'Base'!C22)*(26-24)/12</f>
        <v/>
      </c>
      <c r="D29" s="23">
        <f>'Base'!D20/12</f>
        <v/>
      </c>
      <c r="E29" s="23">
        <f>'Upside'!C22+('Upside'!D22-'Upside'!C22)*(26-24)/12</f>
        <v/>
      </c>
      <c r="F29" s="23">
        <f>'Upside'!D20/12</f>
        <v/>
      </c>
      <c r="G29" s="23">
        <f>'Downside'!C22+('Downside'!D22-'Downside'!C22)*(26-24)/12</f>
        <v/>
      </c>
      <c r="H29" s="23">
        <f>'Downside'!D20/12</f>
        <v/>
      </c>
    </row>
    <row r="30">
      <c r="A30" t="n">
        <v>27</v>
      </c>
      <c r="B30" t="n">
        <v>3</v>
      </c>
      <c r="C30" s="23">
        <f>'Base'!C22+('Base'!D22-'Base'!C22)*(27-24)/12</f>
        <v/>
      </c>
      <c r="D30" s="23">
        <f>'Base'!D20/12</f>
        <v/>
      </c>
      <c r="E30" s="23">
        <f>'Upside'!C22+('Upside'!D22-'Upside'!C22)*(27-24)/12</f>
        <v/>
      </c>
      <c r="F30" s="23">
        <f>'Upside'!D20/12</f>
        <v/>
      </c>
      <c r="G30" s="23">
        <f>'Downside'!C22+('Downside'!D22-'Downside'!C22)*(27-24)/12</f>
        <v/>
      </c>
      <c r="H30" s="23">
        <f>'Downside'!D20/12</f>
        <v/>
      </c>
    </row>
    <row r="31">
      <c r="A31" t="n">
        <v>28</v>
      </c>
      <c r="B31" t="n">
        <v>3</v>
      </c>
      <c r="C31" s="23">
        <f>'Base'!C22+('Base'!D22-'Base'!C22)*(28-24)/12</f>
        <v/>
      </c>
      <c r="D31" s="23">
        <f>'Base'!D20/12</f>
        <v/>
      </c>
      <c r="E31" s="23">
        <f>'Upside'!C22+('Upside'!D22-'Upside'!C22)*(28-24)/12</f>
        <v/>
      </c>
      <c r="F31" s="23">
        <f>'Upside'!D20/12</f>
        <v/>
      </c>
      <c r="G31" s="23">
        <f>'Downside'!C22+('Downside'!D22-'Downside'!C22)*(28-24)/12</f>
        <v/>
      </c>
      <c r="H31" s="23">
        <f>'Downside'!D20/12</f>
        <v/>
      </c>
    </row>
    <row r="32">
      <c r="A32" t="n">
        <v>29</v>
      </c>
      <c r="B32" t="n">
        <v>3</v>
      </c>
      <c r="C32" s="23">
        <f>'Base'!C22+('Base'!D22-'Base'!C22)*(29-24)/12</f>
        <v/>
      </c>
      <c r="D32" s="23">
        <f>'Base'!D20/12</f>
        <v/>
      </c>
      <c r="E32" s="23">
        <f>'Upside'!C22+('Upside'!D22-'Upside'!C22)*(29-24)/12</f>
        <v/>
      </c>
      <c r="F32" s="23">
        <f>'Upside'!D20/12</f>
        <v/>
      </c>
      <c r="G32" s="23">
        <f>'Downside'!C22+('Downside'!D22-'Downside'!C22)*(29-24)/12</f>
        <v/>
      </c>
      <c r="H32" s="23">
        <f>'Downside'!D20/12</f>
        <v/>
      </c>
    </row>
    <row r="33">
      <c r="A33" t="n">
        <v>30</v>
      </c>
      <c r="B33" t="n">
        <v>3</v>
      </c>
      <c r="C33" s="23">
        <f>'Base'!C22+('Base'!D22-'Base'!C22)*(30-24)/12</f>
        <v/>
      </c>
      <c r="D33" s="23">
        <f>'Base'!D20/12</f>
        <v/>
      </c>
      <c r="E33" s="23">
        <f>'Upside'!C22+('Upside'!D22-'Upside'!C22)*(30-24)/12</f>
        <v/>
      </c>
      <c r="F33" s="23">
        <f>'Upside'!D20/12</f>
        <v/>
      </c>
      <c r="G33" s="23">
        <f>'Downside'!C22+('Downside'!D22-'Downside'!C22)*(30-24)/12</f>
        <v/>
      </c>
      <c r="H33" s="23">
        <f>'Downside'!D20/12</f>
        <v/>
      </c>
    </row>
    <row r="34">
      <c r="A34" t="n">
        <v>31</v>
      </c>
      <c r="B34" t="n">
        <v>3</v>
      </c>
      <c r="C34" s="23">
        <f>'Base'!C22+('Base'!D22-'Base'!C22)*(31-24)/12</f>
        <v/>
      </c>
      <c r="D34" s="23">
        <f>'Base'!D20/12</f>
        <v/>
      </c>
      <c r="E34" s="23">
        <f>'Upside'!C22+('Upside'!D22-'Upside'!C22)*(31-24)/12</f>
        <v/>
      </c>
      <c r="F34" s="23">
        <f>'Upside'!D20/12</f>
        <v/>
      </c>
      <c r="G34" s="23">
        <f>'Downside'!C22+('Downside'!D22-'Downside'!C22)*(31-24)/12</f>
        <v/>
      </c>
      <c r="H34" s="23">
        <f>'Downside'!D20/12</f>
        <v/>
      </c>
    </row>
    <row r="35">
      <c r="A35" t="n">
        <v>32</v>
      </c>
      <c r="B35" t="n">
        <v>3</v>
      </c>
      <c r="C35" s="23">
        <f>'Base'!C22+('Base'!D22-'Base'!C22)*(32-24)/12</f>
        <v/>
      </c>
      <c r="D35" s="23">
        <f>'Base'!D20/12</f>
        <v/>
      </c>
      <c r="E35" s="23">
        <f>'Upside'!C22+('Upside'!D22-'Upside'!C22)*(32-24)/12</f>
        <v/>
      </c>
      <c r="F35" s="23">
        <f>'Upside'!D20/12</f>
        <v/>
      </c>
      <c r="G35" s="23">
        <f>'Downside'!C22+('Downside'!D22-'Downside'!C22)*(32-24)/12</f>
        <v/>
      </c>
      <c r="H35" s="23">
        <f>'Downside'!D20/12</f>
        <v/>
      </c>
    </row>
    <row r="36">
      <c r="A36" t="n">
        <v>33</v>
      </c>
      <c r="B36" t="n">
        <v>3</v>
      </c>
      <c r="C36" s="23">
        <f>'Base'!C22+('Base'!D22-'Base'!C22)*(33-24)/12</f>
        <v/>
      </c>
      <c r="D36" s="23">
        <f>'Base'!D20/12</f>
        <v/>
      </c>
      <c r="E36" s="23">
        <f>'Upside'!C22+('Upside'!D22-'Upside'!C22)*(33-24)/12</f>
        <v/>
      </c>
      <c r="F36" s="23">
        <f>'Upside'!D20/12</f>
        <v/>
      </c>
      <c r="G36" s="23">
        <f>'Downside'!C22+('Downside'!D22-'Downside'!C22)*(33-24)/12</f>
        <v/>
      </c>
      <c r="H36" s="23">
        <f>'Downside'!D20/12</f>
        <v/>
      </c>
    </row>
    <row r="37">
      <c r="A37" t="n">
        <v>34</v>
      </c>
      <c r="B37" t="n">
        <v>3</v>
      </c>
      <c r="C37" s="23">
        <f>'Base'!C22+('Base'!D22-'Base'!C22)*(34-24)/12</f>
        <v/>
      </c>
      <c r="D37" s="23">
        <f>'Base'!D20/12</f>
        <v/>
      </c>
      <c r="E37" s="23">
        <f>'Upside'!C22+('Upside'!D22-'Upside'!C22)*(34-24)/12</f>
        <v/>
      </c>
      <c r="F37" s="23">
        <f>'Upside'!D20/12</f>
        <v/>
      </c>
      <c r="G37" s="23">
        <f>'Downside'!C22+('Downside'!D22-'Downside'!C22)*(34-24)/12</f>
        <v/>
      </c>
      <c r="H37" s="23">
        <f>'Downside'!D20/12</f>
        <v/>
      </c>
    </row>
    <row r="38">
      <c r="A38" t="n">
        <v>35</v>
      </c>
      <c r="B38" t="n">
        <v>3</v>
      </c>
      <c r="C38" s="23">
        <f>'Base'!C22+('Base'!D22-'Base'!C22)*(35-24)/12</f>
        <v/>
      </c>
      <c r="D38" s="23">
        <f>'Base'!D20/12</f>
        <v/>
      </c>
      <c r="E38" s="23">
        <f>'Upside'!C22+('Upside'!D22-'Upside'!C22)*(35-24)/12</f>
        <v/>
      </c>
      <c r="F38" s="23">
        <f>'Upside'!D20/12</f>
        <v/>
      </c>
      <c r="G38" s="23">
        <f>'Downside'!C22+('Downside'!D22-'Downside'!C22)*(35-24)/12</f>
        <v/>
      </c>
      <c r="H38" s="23">
        <f>'Downside'!D20/12</f>
        <v/>
      </c>
    </row>
    <row r="39">
      <c r="A39" t="n">
        <v>36</v>
      </c>
      <c r="B39" t="n">
        <v>3</v>
      </c>
      <c r="C39" s="23">
        <f>'Base'!C22+('Base'!D22-'Base'!C22)*(36-24)/12</f>
        <v/>
      </c>
      <c r="D39" s="23">
        <f>'Base'!D20/12</f>
        <v/>
      </c>
      <c r="E39" s="23">
        <f>'Upside'!C22+('Upside'!D22-'Upside'!C22)*(36-24)/12</f>
        <v/>
      </c>
      <c r="F39" s="23">
        <f>'Upside'!D20/12</f>
        <v/>
      </c>
      <c r="G39" s="23">
        <f>'Downside'!C22+('Downside'!D22-'Downside'!C22)*(36-24)/12</f>
        <v/>
      </c>
      <c r="H39" s="23">
        <f>'Downside'!D20/12</f>
        <v/>
      </c>
    </row>
    <row r="40">
      <c r="A40" t="n">
        <v>37</v>
      </c>
      <c r="B40" t="n">
        <v>4</v>
      </c>
      <c r="C40" s="23">
        <f>'Base'!D22+('Base'!E22-'Base'!D22)*(37-36)/12</f>
        <v/>
      </c>
      <c r="D40" s="23">
        <f>'Base'!E20/12</f>
        <v/>
      </c>
      <c r="E40" s="23">
        <f>'Upside'!D22+('Upside'!E22-'Upside'!D22)*(37-36)/12</f>
        <v/>
      </c>
      <c r="F40" s="23">
        <f>'Upside'!E20/12</f>
        <v/>
      </c>
      <c r="G40" s="23">
        <f>'Downside'!D22+('Downside'!E22-'Downside'!D22)*(37-36)/12</f>
        <v/>
      </c>
      <c r="H40" s="23">
        <f>'Downside'!E20/12</f>
        <v/>
      </c>
    </row>
    <row r="41">
      <c r="A41" t="n">
        <v>38</v>
      </c>
      <c r="B41" t="n">
        <v>4</v>
      </c>
      <c r="C41" s="23">
        <f>'Base'!D22+('Base'!E22-'Base'!D22)*(38-36)/12</f>
        <v/>
      </c>
      <c r="D41" s="23">
        <f>'Base'!E20/12</f>
        <v/>
      </c>
      <c r="E41" s="23">
        <f>'Upside'!D22+('Upside'!E22-'Upside'!D22)*(38-36)/12</f>
        <v/>
      </c>
      <c r="F41" s="23">
        <f>'Upside'!E20/12</f>
        <v/>
      </c>
      <c r="G41" s="23">
        <f>'Downside'!D22+('Downside'!E22-'Downside'!D22)*(38-36)/12</f>
        <v/>
      </c>
      <c r="H41" s="23">
        <f>'Downside'!E20/12</f>
        <v/>
      </c>
    </row>
    <row r="42">
      <c r="A42" t="n">
        <v>39</v>
      </c>
      <c r="B42" t="n">
        <v>4</v>
      </c>
      <c r="C42" s="23">
        <f>'Base'!D22+('Base'!E22-'Base'!D22)*(39-36)/12</f>
        <v/>
      </c>
      <c r="D42" s="23">
        <f>'Base'!E20/12</f>
        <v/>
      </c>
      <c r="E42" s="23">
        <f>'Upside'!D22+('Upside'!E22-'Upside'!D22)*(39-36)/12</f>
        <v/>
      </c>
      <c r="F42" s="23">
        <f>'Upside'!E20/12</f>
        <v/>
      </c>
      <c r="G42" s="23">
        <f>'Downside'!D22+('Downside'!E22-'Downside'!D22)*(39-36)/12</f>
        <v/>
      </c>
      <c r="H42" s="23">
        <f>'Downside'!E20/12</f>
        <v/>
      </c>
    </row>
    <row r="43">
      <c r="A43" t="n">
        <v>40</v>
      </c>
      <c r="B43" t="n">
        <v>4</v>
      </c>
      <c r="C43" s="23">
        <f>'Base'!D22+('Base'!E22-'Base'!D22)*(40-36)/12</f>
        <v/>
      </c>
      <c r="D43" s="23">
        <f>'Base'!E20/12</f>
        <v/>
      </c>
      <c r="E43" s="23">
        <f>'Upside'!D22+('Upside'!E22-'Upside'!D22)*(40-36)/12</f>
        <v/>
      </c>
      <c r="F43" s="23">
        <f>'Upside'!E20/12</f>
        <v/>
      </c>
      <c r="G43" s="23">
        <f>'Downside'!D22+('Downside'!E22-'Downside'!D22)*(40-36)/12</f>
        <v/>
      </c>
      <c r="H43" s="23">
        <f>'Downside'!E20/12</f>
        <v/>
      </c>
    </row>
    <row r="44">
      <c r="A44" t="n">
        <v>41</v>
      </c>
      <c r="B44" t="n">
        <v>4</v>
      </c>
      <c r="C44" s="23">
        <f>'Base'!D22+('Base'!E22-'Base'!D22)*(41-36)/12</f>
        <v/>
      </c>
      <c r="D44" s="23">
        <f>'Base'!E20/12</f>
        <v/>
      </c>
      <c r="E44" s="23">
        <f>'Upside'!D22+('Upside'!E22-'Upside'!D22)*(41-36)/12</f>
        <v/>
      </c>
      <c r="F44" s="23">
        <f>'Upside'!E20/12</f>
        <v/>
      </c>
      <c r="G44" s="23">
        <f>'Downside'!D22+('Downside'!E22-'Downside'!D22)*(41-36)/12</f>
        <v/>
      </c>
      <c r="H44" s="23">
        <f>'Downside'!E20/12</f>
        <v/>
      </c>
    </row>
    <row r="45">
      <c r="A45" t="n">
        <v>42</v>
      </c>
      <c r="B45" t="n">
        <v>4</v>
      </c>
      <c r="C45" s="23">
        <f>'Base'!D22+('Base'!E22-'Base'!D22)*(42-36)/12</f>
        <v/>
      </c>
      <c r="D45" s="23">
        <f>'Base'!E20/12</f>
        <v/>
      </c>
      <c r="E45" s="23">
        <f>'Upside'!D22+('Upside'!E22-'Upside'!D22)*(42-36)/12</f>
        <v/>
      </c>
      <c r="F45" s="23">
        <f>'Upside'!E20/12</f>
        <v/>
      </c>
      <c r="G45" s="23">
        <f>'Downside'!D22+('Downside'!E22-'Downside'!D22)*(42-36)/12</f>
        <v/>
      </c>
      <c r="H45" s="23">
        <f>'Downside'!E20/12</f>
        <v/>
      </c>
    </row>
    <row r="46">
      <c r="A46" t="n">
        <v>43</v>
      </c>
      <c r="B46" t="n">
        <v>4</v>
      </c>
      <c r="C46" s="23">
        <f>'Base'!D22+('Base'!E22-'Base'!D22)*(43-36)/12</f>
        <v/>
      </c>
      <c r="D46" s="23">
        <f>'Base'!E20/12</f>
        <v/>
      </c>
      <c r="E46" s="23">
        <f>'Upside'!D22+('Upside'!E22-'Upside'!D22)*(43-36)/12</f>
        <v/>
      </c>
      <c r="F46" s="23">
        <f>'Upside'!E20/12</f>
        <v/>
      </c>
      <c r="G46" s="23">
        <f>'Downside'!D22+('Downside'!E22-'Downside'!D22)*(43-36)/12</f>
        <v/>
      </c>
      <c r="H46" s="23">
        <f>'Downside'!E20/12</f>
        <v/>
      </c>
    </row>
    <row r="47">
      <c r="A47" t="n">
        <v>44</v>
      </c>
      <c r="B47" t="n">
        <v>4</v>
      </c>
      <c r="C47" s="23">
        <f>'Base'!D22+('Base'!E22-'Base'!D22)*(44-36)/12</f>
        <v/>
      </c>
      <c r="D47" s="23">
        <f>'Base'!E20/12</f>
        <v/>
      </c>
      <c r="E47" s="23">
        <f>'Upside'!D22+('Upside'!E22-'Upside'!D22)*(44-36)/12</f>
        <v/>
      </c>
      <c r="F47" s="23">
        <f>'Upside'!E20/12</f>
        <v/>
      </c>
      <c r="G47" s="23">
        <f>'Downside'!D22+('Downside'!E22-'Downside'!D22)*(44-36)/12</f>
        <v/>
      </c>
      <c r="H47" s="23">
        <f>'Downside'!E20/12</f>
        <v/>
      </c>
    </row>
    <row r="48">
      <c r="A48" t="n">
        <v>45</v>
      </c>
      <c r="B48" t="n">
        <v>4</v>
      </c>
      <c r="C48" s="23">
        <f>'Base'!D22+('Base'!E22-'Base'!D22)*(45-36)/12</f>
        <v/>
      </c>
      <c r="D48" s="23">
        <f>'Base'!E20/12</f>
        <v/>
      </c>
      <c r="E48" s="23">
        <f>'Upside'!D22+('Upside'!E22-'Upside'!D22)*(45-36)/12</f>
        <v/>
      </c>
      <c r="F48" s="23">
        <f>'Upside'!E20/12</f>
        <v/>
      </c>
      <c r="G48" s="23">
        <f>'Downside'!D22+('Downside'!E22-'Downside'!D22)*(45-36)/12</f>
        <v/>
      </c>
      <c r="H48" s="23">
        <f>'Downside'!E20/12</f>
        <v/>
      </c>
    </row>
    <row r="49">
      <c r="A49" t="n">
        <v>46</v>
      </c>
      <c r="B49" t="n">
        <v>4</v>
      </c>
      <c r="C49" s="23">
        <f>'Base'!D22+('Base'!E22-'Base'!D22)*(46-36)/12</f>
        <v/>
      </c>
      <c r="D49" s="23">
        <f>'Base'!E20/12</f>
        <v/>
      </c>
      <c r="E49" s="23">
        <f>'Upside'!D22+('Upside'!E22-'Upside'!D22)*(46-36)/12</f>
        <v/>
      </c>
      <c r="F49" s="23">
        <f>'Upside'!E20/12</f>
        <v/>
      </c>
      <c r="G49" s="23">
        <f>'Downside'!D22+('Downside'!E22-'Downside'!D22)*(46-36)/12</f>
        <v/>
      </c>
      <c r="H49" s="23">
        <f>'Downside'!E20/12</f>
        <v/>
      </c>
    </row>
    <row r="50">
      <c r="A50" t="n">
        <v>47</v>
      </c>
      <c r="B50" t="n">
        <v>4</v>
      </c>
      <c r="C50" s="23">
        <f>'Base'!D22+('Base'!E22-'Base'!D22)*(47-36)/12</f>
        <v/>
      </c>
      <c r="D50" s="23">
        <f>'Base'!E20/12</f>
        <v/>
      </c>
      <c r="E50" s="23">
        <f>'Upside'!D22+('Upside'!E22-'Upside'!D22)*(47-36)/12</f>
        <v/>
      </c>
      <c r="F50" s="23">
        <f>'Upside'!E20/12</f>
        <v/>
      </c>
      <c r="G50" s="23">
        <f>'Downside'!D22+('Downside'!E22-'Downside'!D22)*(47-36)/12</f>
        <v/>
      </c>
      <c r="H50" s="23">
        <f>'Downside'!E20/12</f>
        <v/>
      </c>
    </row>
    <row r="51">
      <c r="A51" t="n">
        <v>48</v>
      </c>
      <c r="B51" t="n">
        <v>4</v>
      </c>
      <c r="C51" s="23">
        <f>'Base'!D22+('Base'!E22-'Base'!D22)*(48-36)/12</f>
        <v/>
      </c>
      <c r="D51" s="23">
        <f>'Base'!E20/12</f>
        <v/>
      </c>
      <c r="E51" s="23">
        <f>'Upside'!D22+('Upside'!E22-'Upside'!D22)*(48-36)/12</f>
        <v/>
      </c>
      <c r="F51" s="23">
        <f>'Upside'!E20/12</f>
        <v/>
      </c>
      <c r="G51" s="23">
        <f>'Downside'!D22+('Downside'!E22-'Downside'!D22)*(48-36)/12</f>
        <v/>
      </c>
      <c r="H51" s="23">
        <f>'Downside'!E20/12</f>
        <v/>
      </c>
    </row>
    <row r="52">
      <c r="A52" t="n">
        <v>49</v>
      </c>
      <c r="B52" t="n">
        <v>5</v>
      </c>
      <c r="C52" s="23">
        <f>'Base'!E22+('Base'!F22-'Base'!E22)*(49-48)/12</f>
        <v/>
      </c>
      <c r="D52" s="23">
        <f>'Base'!F20/12</f>
        <v/>
      </c>
      <c r="E52" s="23">
        <f>'Upside'!E22+('Upside'!F22-'Upside'!E22)*(49-48)/12</f>
        <v/>
      </c>
      <c r="F52" s="23">
        <f>'Upside'!F20/12</f>
        <v/>
      </c>
      <c r="G52" s="23">
        <f>'Downside'!E22+('Downside'!F22-'Downside'!E22)*(49-48)/12</f>
        <v/>
      </c>
      <c r="H52" s="23">
        <f>'Downside'!F20/12</f>
        <v/>
      </c>
    </row>
    <row r="53">
      <c r="A53" t="n">
        <v>50</v>
      </c>
      <c r="B53" t="n">
        <v>5</v>
      </c>
      <c r="C53" s="23">
        <f>'Base'!E22+('Base'!F22-'Base'!E22)*(50-48)/12</f>
        <v/>
      </c>
      <c r="D53" s="23">
        <f>'Base'!F20/12</f>
        <v/>
      </c>
      <c r="E53" s="23">
        <f>'Upside'!E22+('Upside'!F22-'Upside'!E22)*(50-48)/12</f>
        <v/>
      </c>
      <c r="F53" s="23">
        <f>'Upside'!F20/12</f>
        <v/>
      </c>
      <c r="G53" s="23">
        <f>'Downside'!E22+('Downside'!F22-'Downside'!E22)*(50-48)/12</f>
        <v/>
      </c>
      <c r="H53" s="23">
        <f>'Downside'!F20/12</f>
        <v/>
      </c>
    </row>
    <row r="54">
      <c r="A54" t="n">
        <v>51</v>
      </c>
      <c r="B54" t="n">
        <v>5</v>
      </c>
      <c r="C54" s="23">
        <f>'Base'!E22+('Base'!F22-'Base'!E22)*(51-48)/12</f>
        <v/>
      </c>
      <c r="D54" s="23">
        <f>'Base'!F20/12</f>
        <v/>
      </c>
      <c r="E54" s="23">
        <f>'Upside'!E22+('Upside'!F22-'Upside'!E22)*(51-48)/12</f>
        <v/>
      </c>
      <c r="F54" s="23">
        <f>'Upside'!F20/12</f>
        <v/>
      </c>
      <c r="G54" s="23">
        <f>'Downside'!E22+('Downside'!F22-'Downside'!E22)*(51-48)/12</f>
        <v/>
      </c>
      <c r="H54" s="23">
        <f>'Downside'!F20/12</f>
        <v/>
      </c>
    </row>
    <row r="55">
      <c r="A55" t="n">
        <v>52</v>
      </c>
      <c r="B55" t="n">
        <v>5</v>
      </c>
      <c r="C55" s="23">
        <f>'Base'!E22+('Base'!F22-'Base'!E22)*(52-48)/12</f>
        <v/>
      </c>
      <c r="D55" s="23">
        <f>'Base'!F20/12</f>
        <v/>
      </c>
      <c r="E55" s="23">
        <f>'Upside'!E22+('Upside'!F22-'Upside'!E22)*(52-48)/12</f>
        <v/>
      </c>
      <c r="F55" s="23">
        <f>'Upside'!F20/12</f>
        <v/>
      </c>
      <c r="G55" s="23">
        <f>'Downside'!E22+('Downside'!F22-'Downside'!E22)*(52-48)/12</f>
        <v/>
      </c>
      <c r="H55" s="23">
        <f>'Downside'!F20/12</f>
        <v/>
      </c>
    </row>
    <row r="56">
      <c r="A56" t="n">
        <v>53</v>
      </c>
      <c r="B56" t="n">
        <v>5</v>
      </c>
      <c r="C56" s="23">
        <f>'Base'!E22+('Base'!F22-'Base'!E22)*(53-48)/12</f>
        <v/>
      </c>
      <c r="D56" s="23">
        <f>'Base'!F20/12</f>
        <v/>
      </c>
      <c r="E56" s="23">
        <f>'Upside'!E22+('Upside'!F22-'Upside'!E22)*(53-48)/12</f>
        <v/>
      </c>
      <c r="F56" s="23">
        <f>'Upside'!F20/12</f>
        <v/>
      </c>
      <c r="G56" s="23">
        <f>'Downside'!E22+('Downside'!F22-'Downside'!E22)*(53-48)/12</f>
        <v/>
      </c>
      <c r="H56" s="23">
        <f>'Downside'!F20/12</f>
        <v/>
      </c>
    </row>
    <row r="57">
      <c r="A57" t="n">
        <v>54</v>
      </c>
      <c r="B57" t="n">
        <v>5</v>
      </c>
      <c r="C57" s="23">
        <f>'Base'!E22+('Base'!F22-'Base'!E22)*(54-48)/12</f>
        <v/>
      </c>
      <c r="D57" s="23">
        <f>'Base'!F20/12</f>
        <v/>
      </c>
      <c r="E57" s="23">
        <f>'Upside'!E22+('Upside'!F22-'Upside'!E22)*(54-48)/12</f>
        <v/>
      </c>
      <c r="F57" s="23">
        <f>'Upside'!F20/12</f>
        <v/>
      </c>
      <c r="G57" s="23">
        <f>'Downside'!E22+('Downside'!F22-'Downside'!E22)*(54-48)/12</f>
        <v/>
      </c>
      <c r="H57" s="23">
        <f>'Downside'!F20/12</f>
        <v/>
      </c>
    </row>
    <row r="58">
      <c r="A58" t="n">
        <v>55</v>
      </c>
      <c r="B58" t="n">
        <v>5</v>
      </c>
      <c r="C58" s="23">
        <f>'Base'!E22+('Base'!F22-'Base'!E22)*(55-48)/12</f>
        <v/>
      </c>
      <c r="D58" s="23">
        <f>'Base'!F20/12</f>
        <v/>
      </c>
      <c r="E58" s="23">
        <f>'Upside'!E22+('Upside'!F22-'Upside'!E22)*(55-48)/12</f>
        <v/>
      </c>
      <c r="F58" s="23">
        <f>'Upside'!F20/12</f>
        <v/>
      </c>
      <c r="G58" s="23">
        <f>'Downside'!E22+('Downside'!F22-'Downside'!E22)*(55-48)/12</f>
        <v/>
      </c>
      <c r="H58" s="23">
        <f>'Downside'!F20/12</f>
        <v/>
      </c>
    </row>
    <row r="59">
      <c r="A59" t="n">
        <v>56</v>
      </c>
      <c r="B59" t="n">
        <v>5</v>
      </c>
      <c r="C59" s="23">
        <f>'Base'!E22+('Base'!F22-'Base'!E22)*(56-48)/12</f>
        <v/>
      </c>
      <c r="D59" s="23">
        <f>'Base'!F20/12</f>
        <v/>
      </c>
      <c r="E59" s="23">
        <f>'Upside'!E22+('Upside'!F22-'Upside'!E22)*(56-48)/12</f>
        <v/>
      </c>
      <c r="F59" s="23">
        <f>'Upside'!F20/12</f>
        <v/>
      </c>
      <c r="G59" s="23">
        <f>'Downside'!E22+('Downside'!F22-'Downside'!E22)*(56-48)/12</f>
        <v/>
      </c>
      <c r="H59" s="23">
        <f>'Downside'!F20/12</f>
        <v/>
      </c>
    </row>
    <row r="60">
      <c r="A60" t="n">
        <v>57</v>
      </c>
      <c r="B60" t="n">
        <v>5</v>
      </c>
      <c r="C60" s="23">
        <f>'Base'!E22+('Base'!F22-'Base'!E22)*(57-48)/12</f>
        <v/>
      </c>
      <c r="D60" s="23">
        <f>'Base'!F20/12</f>
        <v/>
      </c>
      <c r="E60" s="23">
        <f>'Upside'!E22+('Upside'!F22-'Upside'!E22)*(57-48)/12</f>
        <v/>
      </c>
      <c r="F60" s="23">
        <f>'Upside'!F20/12</f>
        <v/>
      </c>
      <c r="G60" s="23">
        <f>'Downside'!E22+('Downside'!F22-'Downside'!E22)*(57-48)/12</f>
        <v/>
      </c>
      <c r="H60" s="23">
        <f>'Downside'!F20/12</f>
        <v/>
      </c>
    </row>
    <row r="61">
      <c r="A61" t="n">
        <v>58</v>
      </c>
      <c r="B61" t="n">
        <v>5</v>
      </c>
      <c r="C61" s="23">
        <f>'Base'!E22+('Base'!F22-'Base'!E22)*(58-48)/12</f>
        <v/>
      </c>
      <c r="D61" s="23">
        <f>'Base'!F20/12</f>
        <v/>
      </c>
      <c r="E61" s="23">
        <f>'Upside'!E22+('Upside'!F22-'Upside'!E22)*(58-48)/12</f>
        <v/>
      </c>
      <c r="F61" s="23">
        <f>'Upside'!F20/12</f>
        <v/>
      </c>
      <c r="G61" s="23">
        <f>'Downside'!E22+('Downside'!F22-'Downside'!E22)*(58-48)/12</f>
        <v/>
      </c>
      <c r="H61" s="23">
        <f>'Downside'!F20/12</f>
        <v/>
      </c>
    </row>
    <row r="62">
      <c r="A62" t="n">
        <v>59</v>
      </c>
      <c r="B62" t="n">
        <v>5</v>
      </c>
      <c r="C62" s="23">
        <f>'Base'!E22+('Base'!F22-'Base'!E22)*(59-48)/12</f>
        <v/>
      </c>
      <c r="D62" s="23">
        <f>'Base'!F20/12</f>
        <v/>
      </c>
      <c r="E62" s="23">
        <f>'Upside'!E22+('Upside'!F22-'Upside'!E22)*(59-48)/12</f>
        <v/>
      </c>
      <c r="F62" s="23">
        <f>'Upside'!F20/12</f>
        <v/>
      </c>
      <c r="G62" s="23">
        <f>'Downside'!E22+('Downside'!F22-'Downside'!E22)*(59-48)/12</f>
        <v/>
      </c>
      <c r="H62" s="23">
        <f>'Downside'!F20/12</f>
        <v/>
      </c>
    </row>
    <row r="63">
      <c r="A63" t="n">
        <v>60</v>
      </c>
      <c r="B63" t="n">
        <v>5</v>
      </c>
      <c r="C63" s="23">
        <f>'Base'!E22+('Base'!F22-'Base'!E22)*(60-48)/12</f>
        <v/>
      </c>
      <c r="D63" s="23">
        <f>'Base'!F20/12</f>
        <v/>
      </c>
      <c r="E63" s="23">
        <f>'Upside'!E22+('Upside'!F22-'Upside'!E22)*(60-48)/12</f>
        <v/>
      </c>
      <c r="F63" s="23">
        <f>'Upside'!F20/12</f>
        <v/>
      </c>
      <c r="G63" s="23">
        <f>'Downside'!E22+('Downside'!F22-'Downside'!E22)*(60-48)/12</f>
        <v/>
      </c>
      <c r="H63" s="23">
        <f>'Downside'!F20/12</f>
        <v/>
      </c>
    </row>
    <row r="64">
      <c r="A64" t="n">
        <v>61</v>
      </c>
      <c r="B64" t="n">
        <v>6</v>
      </c>
      <c r="C64" s="23">
        <f>'Base'!F22+('Base'!G22-'Base'!F22)*(61-60)/12</f>
        <v/>
      </c>
      <c r="D64" s="23">
        <f>'Base'!G20/12</f>
        <v/>
      </c>
      <c r="E64" s="23">
        <f>'Upside'!F22+('Upside'!G22-'Upside'!F22)*(61-60)/12</f>
        <v/>
      </c>
      <c r="F64" s="23">
        <f>'Upside'!G20/12</f>
        <v/>
      </c>
      <c r="G64" s="23">
        <f>'Downside'!F22+('Downside'!G22-'Downside'!F22)*(61-60)/12</f>
        <v/>
      </c>
      <c r="H64" s="23">
        <f>'Downside'!G20/12</f>
        <v/>
      </c>
    </row>
    <row r="65">
      <c r="A65" t="n">
        <v>62</v>
      </c>
      <c r="B65" t="n">
        <v>6</v>
      </c>
      <c r="C65" s="23">
        <f>'Base'!F22+('Base'!G22-'Base'!F22)*(62-60)/12</f>
        <v/>
      </c>
      <c r="D65" s="23">
        <f>'Base'!G20/12</f>
        <v/>
      </c>
      <c r="E65" s="23">
        <f>'Upside'!F22+('Upside'!G22-'Upside'!F22)*(62-60)/12</f>
        <v/>
      </c>
      <c r="F65" s="23">
        <f>'Upside'!G20/12</f>
        <v/>
      </c>
      <c r="G65" s="23">
        <f>'Downside'!F22+('Downside'!G22-'Downside'!F22)*(62-60)/12</f>
        <v/>
      </c>
      <c r="H65" s="23">
        <f>'Downside'!G20/12</f>
        <v/>
      </c>
    </row>
    <row r="66">
      <c r="A66" t="n">
        <v>63</v>
      </c>
      <c r="B66" t="n">
        <v>6</v>
      </c>
      <c r="C66" s="23">
        <f>'Base'!F22+('Base'!G22-'Base'!F22)*(63-60)/12</f>
        <v/>
      </c>
      <c r="D66" s="23">
        <f>'Base'!G20/12</f>
        <v/>
      </c>
      <c r="E66" s="23">
        <f>'Upside'!F22+('Upside'!G22-'Upside'!F22)*(63-60)/12</f>
        <v/>
      </c>
      <c r="F66" s="23">
        <f>'Upside'!G20/12</f>
        <v/>
      </c>
      <c r="G66" s="23">
        <f>'Downside'!F22+('Downside'!G22-'Downside'!F22)*(63-60)/12</f>
        <v/>
      </c>
      <c r="H66" s="23">
        <f>'Downside'!G20/12</f>
        <v/>
      </c>
    </row>
    <row r="67">
      <c r="A67" t="n">
        <v>64</v>
      </c>
      <c r="B67" t="n">
        <v>6</v>
      </c>
      <c r="C67" s="23">
        <f>'Base'!F22+('Base'!G22-'Base'!F22)*(64-60)/12</f>
        <v/>
      </c>
      <c r="D67" s="23">
        <f>'Base'!G20/12</f>
        <v/>
      </c>
      <c r="E67" s="23">
        <f>'Upside'!F22+('Upside'!G22-'Upside'!F22)*(64-60)/12</f>
        <v/>
      </c>
      <c r="F67" s="23">
        <f>'Upside'!G20/12</f>
        <v/>
      </c>
      <c r="G67" s="23">
        <f>'Downside'!F22+('Downside'!G22-'Downside'!F22)*(64-60)/12</f>
        <v/>
      </c>
      <c r="H67" s="23">
        <f>'Downside'!G20/12</f>
        <v/>
      </c>
    </row>
    <row r="68">
      <c r="A68" t="n">
        <v>65</v>
      </c>
      <c r="B68" t="n">
        <v>6</v>
      </c>
      <c r="C68" s="23">
        <f>'Base'!F22+('Base'!G22-'Base'!F22)*(65-60)/12</f>
        <v/>
      </c>
      <c r="D68" s="23">
        <f>'Base'!G20/12</f>
        <v/>
      </c>
      <c r="E68" s="23">
        <f>'Upside'!F22+('Upside'!G22-'Upside'!F22)*(65-60)/12</f>
        <v/>
      </c>
      <c r="F68" s="23">
        <f>'Upside'!G20/12</f>
        <v/>
      </c>
      <c r="G68" s="23">
        <f>'Downside'!F22+('Downside'!G22-'Downside'!F22)*(65-60)/12</f>
        <v/>
      </c>
      <c r="H68" s="23">
        <f>'Downside'!G20/12</f>
        <v/>
      </c>
    </row>
    <row r="69">
      <c r="A69" t="n">
        <v>66</v>
      </c>
      <c r="B69" t="n">
        <v>6</v>
      </c>
      <c r="C69" s="23">
        <f>'Base'!F22+('Base'!G22-'Base'!F22)*(66-60)/12</f>
        <v/>
      </c>
      <c r="D69" s="23">
        <f>'Base'!G20/12</f>
        <v/>
      </c>
      <c r="E69" s="23">
        <f>'Upside'!F22+('Upside'!G22-'Upside'!F22)*(66-60)/12</f>
        <v/>
      </c>
      <c r="F69" s="23">
        <f>'Upside'!G20/12</f>
        <v/>
      </c>
      <c r="G69" s="23">
        <f>'Downside'!F22+('Downside'!G22-'Downside'!F22)*(66-60)/12</f>
        <v/>
      </c>
      <c r="H69" s="23">
        <f>'Downside'!G20/12</f>
        <v/>
      </c>
    </row>
    <row r="70">
      <c r="A70" t="n">
        <v>67</v>
      </c>
      <c r="B70" t="n">
        <v>6</v>
      </c>
      <c r="C70" s="23">
        <f>'Base'!F22+('Base'!G22-'Base'!F22)*(67-60)/12</f>
        <v/>
      </c>
      <c r="D70" s="23">
        <f>'Base'!G20/12</f>
        <v/>
      </c>
      <c r="E70" s="23">
        <f>'Upside'!F22+('Upside'!G22-'Upside'!F22)*(67-60)/12</f>
        <v/>
      </c>
      <c r="F70" s="23">
        <f>'Upside'!G20/12</f>
        <v/>
      </c>
      <c r="G70" s="23">
        <f>'Downside'!F22+('Downside'!G22-'Downside'!F22)*(67-60)/12</f>
        <v/>
      </c>
      <c r="H70" s="23">
        <f>'Downside'!G20/12</f>
        <v/>
      </c>
    </row>
    <row r="71">
      <c r="A71" t="n">
        <v>68</v>
      </c>
      <c r="B71" t="n">
        <v>6</v>
      </c>
      <c r="C71" s="23">
        <f>'Base'!F22+('Base'!G22-'Base'!F22)*(68-60)/12</f>
        <v/>
      </c>
      <c r="D71" s="23">
        <f>'Base'!G20/12</f>
        <v/>
      </c>
      <c r="E71" s="23">
        <f>'Upside'!F22+('Upside'!G22-'Upside'!F22)*(68-60)/12</f>
        <v/>
      </c>
      <c r="F71" s="23">
        <f>'Upside'!G20/12</f>
        <v/>
      </c>
      <c r="G71" s="23">
        <f>'Downside'!F22+('Downside'!G22-'Downside'!F22)*(68-60)/12</f>
        <v/>
      </c>
      <c r="H71" s="23">
        <f>'Downside'!G20/12</f>
        <v/>
      </c>
    </row>
    <row r="72">
      <c r="A72" t="n">
        <v>69</v>
      </c>
      <c r="B72" t="n">
        <v>6</v>
      </c>
      <c r="C72" s="23">
        <f>'Base'!F22+('Base'!G22-'Base'!F22)*(69-60)/12</f>
        <v/>
      </c>
      <c r="D72" s="23">
        <f>'Base'!G20/12</f>
        <v/>
      </c>
      <c r="E72" s="23">
        <f>'Upside'!F22+('Upside'!G22-'Upside'!F22)*(69-60)/12</f>
        <v/>
      </c>
      <c r="F72" s="23">
        <f>'Upside'!G20/12</f>
        <v/>
      </c>
      <c r="G72" s="23">
        <f>'Downside'!F22+('Downside'!G22-'Downside'!F22)*(69-60)/12</f>
        <v/>
      </c>
      <c r="H72" s="23">
        <f>'Downside'!G20/12</f>
        <v/>
      </c>
    </row>
    <row r="73">
      <c r="A73" t="n">
        <v>70</v>
      </c>
      <c r="B73" t="n">
        <v>6</v>
      </c>
      <c r="C73" s="23">
        <f>'Base'!F22+('Base'!G22-'Base'!F22)*(70-60)/12</f>
        <v/>
      </c>
      <c r="D73" s="23">
        <f>'Base'!G20/12</f>
        <v/>
      </c>
      <c r="E73" s="23">
        <f>'Upside'!F22+('Upside'!G22-'Upside'!F22)*(70-60)/12</f>
        <v/>
      </c>
      <c r="F73" s="23">
        <f>'Upside'!G20/12</f>
        <v/>
      </c>
      <c r="G73" s="23">
        <f>'Downside'!F22+('Downside'!G22-'Downside'!F22)*(70-60)/12</f>
        <v/>
      </c>
      <c r="H73" s="23">
        <f>'Downside'!G20/12</f>
        <v/>
      </c>
    </row>
    <row r="74">
      <c r="A74" t="n">
        <v>71</v>
      </c>
      <c r="B74" t="n">
        <v>6</v>
      </c>
      <c r="C74" s="23">
        <f>'Base'!F22+('Base'!G22-'Base'!F22)*(71-60)/12</f>
        <v/>
      </c>
      <c r="D74" s="23">
        <f>'Base'!G20/12</f>
        <v/>
      </c>
      <c r="E74" s="23">
        <f>'Upside'!F22+('Upside'!G22-'Upside'!F22)*(71-60)/12</f>
        <v/>
      </c>
      <c r="F74" s="23">
        <f>'Upside'!G20/12</f>
        <v/>
      </c>
      <c r="G74" s="23">
        <f>'Downside'!F22+('Downside'!G22-'Downside'!F22)*(71-60)/12</f>
        <v/>
      </c>
      <c r="H74" s="23">
        <f>'Downside'!G20/12</f>
        <v/>
      </c>
    </row>
    <row r="75">
      <c r="A75" t="n">
        <v>72</v>
      </c>
      <c r="B75" t="n">
        <v>6</v>
      </c>
      <c r="C75" s="23">
        <f>'Base'!F22+('Base'!G22-'Base'!F22)*(72-60)/12</f>
        <v/>
      </c>
      <c r="D75" s="23">
        <f>'Base'!G20/12</f>
        <v/>
      </c>
      <c r="E75" s="23">
        <f>'Upside'!F22+('Upside'!G22-'Upside'!F22)*(72-60)/12</f>
        <v/>
      </c>
      <c r="F75" s="23">
        <f>'Upside'!G20/12</f>
        <v/>
      </c>
      <c r="G75" s="23">
        <f>'Downside'!F22+('Downside'!G22-'Downside'!F22)*(72-60)/12</f>
        <v/>
      </c>
      <c r="H75" s="23">
        <f>'Downside'!G20/12</f>
        <v/>
      </c>
    </row>
    <row r="76">
      <c r="A76" t="n">
        <v>73</v>
      </c>
      <c r="B76" t="n">
        <v>7</v>
      </c>
      <c r="C76" s="23">
        <f>'Base'!G22+('Base'!H22-'Base'!G22)*(73-72)/12</f>
        <v/>
      </c>
      <c r="D76" s="23">
        <f>'Base'!H20/12</f>
        <v/>
      </c>
      <c r="E76" s="23">
        <f>'Upside'!G22+('Upside'!H22-'Upside'!G22)*(73-72)/12</f>
        <v/>
      </c>
      <c r="F76" s="23">
        <f>'Upside'!H20/12</f>
        <v/>
      </c>
      <c r="G76" s="23">
        <f>'Downside'!G22+('Downside'!H22-'Downside'!G22)*(73-72)/12</f>
        <v/>
      </c>
      <c r="H76" s="23">
        <f>'Downside'!H20/12</f>
        <v/>
      </c>
    </row>
    <row r="77">
      <c r="A77" t="n">
        <v>74</v>
      </c>
      <c r="B77" t="n">
        <v>7</v>
      </c>
      <c r="C77" s="23">
        <f>'Base'!G22+('Base'!H22-'Base'!G22)*(74-72)/12</f>
        <v/>
      </c>
      <c r="D77" s="23">
        <f>'Base'!H20/12</f>
        <v/>
      </c>
      <c r="E77" s="23">
        <f>'Upside'!G22+('Upside'!H22-'Upside'!G22)*(74-72)/12</f>
        <v/>
      </c>
      <c r="F77" s="23">
        <f>'Upside'!H20/12</f>
        <v/>
      </c>
      <c r="G77" s="23">
        <f>'Downside'!G22+('Downside'!H22-'Downside'!G22)*(74-72)/12</f>
        <v/>
      </c>
      <c r="H77" s="23">
        <f>'Downside'!H20/12</f>
        <v/>
      </c>
    </row>
    <row r="78">
      <c r="A78" t="n">
        <v>75</v>
      </c>
      <c r="B78" t="n">
        <v>7</v>
      </c>
      <c r="C78" s="23">
        <f>'Base'!G22+('Base'!H22-'Base'!G22)*(75-72)/12</f>
        <v/>
      </c>
      <c r="D78" s="23">
        <f>'Base'!H20/12</f>
        <v/>
      </c>
      <c r="E78" s="23">
        <f>'Upside'!G22+('Upside'!H22-'Upside'!G22)*(75-72)/12</f>
        <v/>
      </c>
      <c r="F78" s="23">
        <f>'Upside'!H20/12</f>
        <v/>
      </c>
      <c r="G78" s="23">
        <f>'Downside'!G22+('Downside'!H22-'Downside'!G22)*(75-72)/12</f>
        <v/>
      </c>
      <c r="H78" s="23">
        <f>'Downside'!H20/12</f>
        <v/>
      </c>
    </row>
    <row r="79">
      <c r="A79" t="n">
        <v>76</v>
      </c>
      <c r="B79" t="n">
        <v>7</v>
      </c>
      <c r="C79" s="23">
        <f>'Base'!G22+('Base'!H22-'Base'!G22)*(76-72)/12</f>
        <v/>
      </c>
      <c r="D79" s="23">
        <f>'Base'!H20/12</f>
        <v/>
      </c>
      <c r="E79" s="23">
        <f>'Upside'!G22+('Upside'!H22-'Upside'!G22)*(76-72)/12</f>
        <v/>
      </c>
      <c r="F79" s="23">
        <f>'Upside'!H20/12</f>
        <v/>
      </c>
      <c r="G79" s="23">
        <f>'Downside'!G22+('Downside'!H22-'Downside'!G22)*(76-72)/12</f>
        <v/>
      </c>
      <c r="H79" s="23">
        <f>'Downside'!H20/12</f>
        <v/>
      </c>
    </row>
    <row r="80">
      <c r="A80" t="n">
        <v>77</v>
      </c>
      <c r="B80" t="n">
        <v>7</v>
      </c>
      <c r="C80" s="23">
        <f>'Base'!G22+('Base'!H22-'Base'!G22)*(77-72)/12</f>
        <v/>
      </c>
      <c r="D80" s="23">
        <f>'Base'!H20/12</f>
        <v/>
      </c>
      <c r="E80" s="23">
        <f>'Upside'!G22+('Upside'!H22-'Upside'!G22)*(77-72)/12</f>
        <v/>
      </c>
      <c r="F80" s="23">
        <f>'Upside'!H20/12</f>
        <v/>
      </c>
      <c r="G80" s="23">
        <f>'Downside'!G22+('Downside'!H22-'Downside'!G22)*(77-72)/12</f>
        <v/>
      </c>
      <c r="H80" s="23">
        <f>'Downside'!H20/12</f>
        <v/>
      </c>
    </row>
    <row r="81">
      <c r="A81" t="n">
        <v>78</v>
      </c>
      <c r="B81" t="n">
        <v>7</v>
      </c>
      <c r="C81" s="23">
        <f>'Base'!G22+('Base'!H22-'Base'!G22)*(78-72)/12</f>
        <v/>
      </c>
      <c r="D81" s="23">
        <f>'Base'!H20/12</f>
        <v/>
      </c>
      <c r="E81" s="23">
        <f>'Upside'!G22+('Upside'!H22-'Upside'!G22)*(78-72)/12</f>
        <v/>
      </c>
      <c r="F81" s="23">
        <f>'Upside'!H20/12</f>
        <v/>
      </c>
      <c r="G81" s="23">
        <f>'Downside'!G22+('Downside'!H22-'Downside'!G22)*(78-72)/12</f>
        <v/>
      </c>
      <c r="H81" s="23">
        <f>'Downside'!H20/12</f>
        <v/>
      </c>
    </row>
    <row r="82">
      <c r="A82" t="n">
        <v>79</v>
      </c>
      <c r="B82" t="n">
        <v>7</v>
      </c>
      <c r="C82" s="23">
        <f>'Base'!G22+('Base'!H22-'Base'!G22)*(79-72)/12</f>
        <v/>
      </c>
      <c r="D82" s="23">
        <f>'Base'!H20/12</f>
        <v/>
      </c>
      <c r="E82" s="23">
        <f>'Upside'!G22+('Upside'!H22-'Upside'!G22)*(79-72)/12</f>
        <v/>
      </c>
      <c r="F82" s="23">
        <f>'Upside'!H20/12</f>
        <v/>
      </c>
      <c r="G82" s="23">
        <f>'Downside'!G22+('Downside'!H22-'Downside'!G22)*(79-72)/12</f>
        <v/>
      </c>
      <c r="H82" s="23">
        <f>'Downside'!H20/12</f>
        <v/>
      </c>
    </row>
    <row r="83">
      <c r="A83" t="n">
        <v>80</v>
      </c>
      <c r="B83" t="n">
        <v>7</v>
      </c>
      <c r="C83" s="23">
        <f>'Base'!G22+('Base'!H22-'Base'!G22)*(80-72)/12</f>
        <v/>
      </c>
      <c r="D83" s="23">
        <f>'Base'!H20/12</f>
        <v/>
      </c>
      <c r="E83" s="23">
        <f>'Upside'!G22+('Upside'!H22-'Upside'!G22)*(80-72)/12</f>
        <v/>
      </c>
      <c r="F83" s="23">
        <f>'Upside'!H20/12</f>
        <v/>
      </c>
      <c r="G83" s="23">
        <f>'Downside'!G22+('Downside'!H22-'Downside'!G22)*(80-72)/12</f>
        <v/>
      </c>
      <c r="H83" s="23">
        <f>'Downside'!H20/12</f>
        <v/>
      </c>
    </row>
    <row r="84">
      <c r="A84" t="n">
        <v>81</v>
      </c>
      <c r="B84" t="n">
        <v>7</v>
      </c>
      <c r="C84" s="23">
        <f>'Base'!G22+('Base'!H22-'Base'!G22)*(81-72)/12</f>
        <v/>
      </c>
      <c r="D84" s="23">
        <f>'Base'!H20/12</f>
        <v/>
      </c>
      <c r="E84" s="23">
        <f>'Upside'!G22+('Upside'!H22-'Upside'!G22)*(81-72)/12</f>
        <v/>
      </c>
      <c r="F84" s="23">
        <f>'Upside'!H20/12</f>
        <v/>
      </c>
      <c r="G84" s="23">
        <f>'Downside'!G22+('Downside'!H22-'Downside'!G22)*(81-72)/12</f>
        <v/>
      </c>
      <c r="H84" s="23">
        <f>'Downside'!H20/12</f>
        <v/>
      </c>
    </row>
    <row r="85">
      <c r="A85" t="n">
        <v>82</v>
      </c>
      <c r="B85" t="n">
        <v>7</v>
      </c>
      <c r="C85" s="23">
        <f>'Base'!G22+('Base'!H22-'Base'!G22)*(82-72)/12</f>
        <v/>
      </c>
      <c r="D85" s="23">
        <f>'Base'!H20/12</f>
        <v/>
      </c>
      <c r="E85" s="23">
        <f>'Upside'!G22+('Upside'!H22-'Upside'!G22)*(82-72)/12</f>
        <v/>
      </c>
      <c r="F85" s="23">
        <f>'Upside'!H20/12</f>
        <v/>
      </c>
      <c r="G85" s="23">
        <f>'Downside'!G22+('Downside'!H22-'Downside'!G22)*(82-72)/12</f>
        <v/>
      </c>
      <c r="H85" s="23">
        <f>'Downside'!H20/12</f>
        <v/>
      </c>
    </row>
    <row r="86">
      <c r="A86" t="n">
        <v>83</v>
      </c>
      <c r="B86" t="n">
        <v>7</v>
      </c>
      <c r="C86" s="23">
        <f>'Base'!G22+('Base'!H22-'Base'!G22)*(83-72)/12</f>
        <v/>
      </c>
      <c r="D86" s="23">
        <f>'Base'!H20/12</f>
        <v/>
      </c>
      <c r="E86" s="23">
        <f>'Upside'!G22+('Upside'!H22-'Upside'!G22)*(83-72)/12</f>
        <v/>
      </c>
      <c r="F86" s="23">
        <f>'Upside'!H20/12</f>
        <v/>
      </c>
      <c r="G86" s="23">
        <f>'Downside'!G22+('Downside'!H22-'Downside'!G22)*(83-72)/12</f>
        <v/>
      </c>
      <c r="H86" s="23">
        <f>'Downside'!H20/12</f>
        <v/>
      </c>
    </row>
    <row r="87">
      <c r="A87" t="n">
        <v>84</v>
      </c>
      <c r="B87" t="n">
        <v>7</v>
      </c>
      <c r="C87" s="23">
        <f>'Base'!G22+('Base'!H22-'Base'!G22)*(84-72)/12</f>
        <v/>
      </c>
      <c r="D87" s="23">
        <f>'Base'!H20/12</f>
        <v/>
      </c>
      <c r="E87" s="23">
        <f>'Upside'!G22+('Upside'!H22-'Upside'!G22)*(84-72)/12</f>
        <v/>
      </c>
      <c r="F87" s="23">
        <f>'Upside'!H20/12</f>
        <v/>
      </c>
      <c r="G87" s="23">
        <f>'Downside'!G22+('Downside'!H22-'Downside'!G22)*(84-72)/12</f>
        <v/>
      </c>
      <c r="H87" s="23">
        <f>'Downside'!H20/12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34" customWidth="1" min="3" max="3"/>
    <col width="60" customWidth="1" min="4" max="4"/>
    <col width="50" customWidth="1" min="5" max="5"/>
  </cols>
  <sheetData>
    <row r="1">
      <c r="A1" s="1" t="inlineStr">
        <is>
          <t>Financing requirement</t>
        </is>
      </c>
    </row>
    <row r="3">
      <c r="A3" s="4" t="inlineStr">
        <is>
          <t>Item</t>
        </is>
      </c>
      <c r="B3" s="5" t="inlineStr">
        <is>
          <t>Base</t>
        </is>
      </c>
      <c r="C3" s="5" t="inlineStr">
        <is>
          <t>Upside</t>
        </is>
      </c>
      <c r="D3" s="5" t="inlineStr">
        <is>
          <t>Downside</t>
        </is>
      </c>
      <c r="E3" s="5" t="inlineStr">
        <is>
          <t>How it is calculated</t>
        </is>
      </c>
    </row>
    <row r="4">
      <c r="A4" s="2" t="inlineStr">
        <is>
          <t>Month ARR reaches the Series A milestone</t>
        </is>
      </c>
      <c r="B4">
        <f>IFERROR(MATCH(TRUE,INDEX(Monthly!C4:C87&gt;=Assumptions!$B$5,0),0),"not reached")</f>
        <v/>
      </c>
      <c r="C4">
        <f>IFERROR(MATCH(TRUE,INDEX(Monthly!E4:E87&gt;=Assumptions!$B$5,0),0),"not reached")</f>
        <v/>
      </c>
      <c r="D4">
        <f>IFERROR(MATCH(TRUE,INDEX(Monthly!G4:G87&gt;=Assumptions!$B$5,0),0),"not reached")</f>
        <v/>
      </c>
      <c r="E4" s="7" t="inlineStr">
        <is>
          <t>First month interpolated ARR &gt;= milestone</t>
        </is>
      </c>
    </row>
    <row r="5">
      <c r="A5" s="2" t="inlineStr">
        <is>
          <t>Seed: net burn to milestone + months to close</t>
        </is>
      </c>
      <c r="B5" s="23">
        <f>IFERROR(-SUMIFS(Monthly!D4:D87,Monthly!A4:A87,"&lt;="&amp;(B4+Assumptions!$B$7)),"n/a")</f>
        <v/>
      </c>
      <c r="C5" s="23">
        <f>IFERROR(-SUMIFS(Monthly!F4:F87,Monthly!A4:A87,"&lt;="&amp;(C4+Assumptions!$B$7)),"n/a")</f>
        <v/>
      </c>
      <c r="D5" s="23">
        <f>IFERROR(-SUMIFS(Monthly!H4:H87,Monthly!A4:A87,"&lt;="&amp;(D4+Assumptions!$B$7)),"n/a")</f>
        <v/>
      </c>
      <c r="E5" s="7" t="inlineStr">
        <is>
          <t>Sum of negative monthly EBITDA; profit offsets burn</t>
        </is>
      </c>
    </row>
    <row r="6">
      <c r="A6" s="2" t="inlineStr">
        <is>
          <t>Seed incl. buffer</t>
        </is>
      </c>
      <c r="B6" s="23">
        <f>IFERROR(B5*(1+Assumptions!$B$6),"n/a")</f>
        <v/>
      </c>
      <c r="C6" s="23">
        <f>IFERROR(C5*(1+Assumptions!$B$6),"n/a")</f>
        <v/>
      </c>
      <c r="D6" s="23">
        <f>IFERROR(D5*(1+Assumptions!$B$6),"n/a")</f>
        <v/>
      </c>
      <c r="E6" s="7" t="inlineStr">
        <is>
          <t>Adds the buffer</t>
        </is>
      </c>
    </row>
    <row r="7">
      <c r="A7" s="2" t="inlineStr">
        <is>
          <t>Series A: net burn over runway after milestone (capped at model end)</t>
        </is>
      </c>
      <c r="B7" s="23">
        <f>IFERROR(-SUMIFS(Monthly!D4:D87,Monthly!A4:A87,"&gt;"&amp;B4,Monthly!A4:A87,"&lt;="&amp;MIN(84,B4+Assumptions!$B$8)),"n/a")</f>
        <v/>
      </c>
      <c r="C7" s="23">
        <f>IFERROR(-SUMIFS(Monthly!F4:F87,Monthly!A4:A87,"&gt;"&amp;C4,Monthly!A4:A87,"&lt;="&amp;MIN(84,C4+Assumptions!$B$8)),"n/a")</f>
        <v/>
      </c>
      <c r="D7" s="23">
        <f>IFERROR(-SUMIFS(Monthly!H4:H87,Monthly!A4:A87,"&gt;"&amp;D4,Monthly!A4:A87,"&lt;="&amp;MIN(84,D4+Assumptions!$B$8)),"n/a")</f>
        <v/>
      </c>
      <c r="E7" s="7" t="inlineStr">
        <is>
          <t>Burn in the runway window after the milestone</t>
        </is>
      </c>
    </row>
    <row r="8">
      <c r="A8" s="2" t="inlineStr">
        <is>
          <t>Series A incl. buffer</t>
        </is>
      </c>
      <c r="B8" s="23">
        <f>IFERROR(MAX(0,B7)*(1+Assumptions!$B$6),"n/a")</f>
        <v/>
      </c>
      <c r="C8" s="23">
        <f>IFERROR(MAX(0,C7)*(1+Assumptions!$B$6),"n/a")</f>
        <v/>
      </c>
      <c r="D8" s="23">
        <f>IFERROR(MAX(0,D7)*(1+Assumptions!$B$6),"n/a")</f>
        <v/>
      </c>
      <c r="E8" s="7" t="inlineStr">
        <is>
          <t>Adds the buffer</t>
        </is>
      </c>
    </row>
    <row r="11">
      <c r="A11" s="3" t="inlineStr">
        <is>
          <t>Proposed rounds</t>
        </is>
      </c>
    </row>
    <row r="12">
      <c r="A12" s="4" t="inlineStr">
        <is>
          <t>Round</t>
        </is>
      </c>
      <c r="B12" s="5" t="inlineStr">
        <is>
          <t>Amount $M</t>
        </is>
      </c>
      <c r="C12" s="5" t="inlineStr">
        <is>
          <t>Timing</t>
        </is>
      </c>
      <c r="D12" s="5" t="inlineStr">
        <is>
          <t>Basis</t>
        </is>
      </c>
    </row>
    <row r="13">
      <c r="A13" s="2" t="inlineStr">
        <is>
          <t>Seed (tranche 1 $4.0M at close; tranche 2 $3.5M at milestone)</t>
        </is>
      </c>
      <c r="B13" s="8" t="n">
        <v>7.5</v>
      </c>
      <c r="C13" s="2" t="inlineStr">
        <is>
          <t>Now</t>
        </is>
      </c>
      <c r="D13" s="7" t="inlineStr">
        <is>
          <t>Recalculated 2026-10-22: base need incl. 20% buffer $7.59M (milestone month 38); the old note said $7.36M. Downside with hiring freeze $7.6M (not recalculated)</t>
        </is>
      </c>
    </row>
    <row r="14">
      <c r="A14" s="2" t="inlineStr">
        <is>
          <t>Series A</t>
        </is>
      </c>
      <c r="B14" s="8" t="n">
        <v>8.5</v>
      </c>
      <c r="C14" s="2" t="inlineStr">
        <is>
          <t>At $2.5M ARR (base case month 38, recalculated 2026-10-22)</t>
        </is>
      </c>
      <c r="D14" s="7" t="inlineStr">
        <is>
          <t>Recalculated base need incl. buffer $5.58M; 20% fewer accounts $8.5M (not recalculated)</t>
        </is>
      </c>
    </row>
    <row r="16">
      <c r="A16" s="7" t="inlineStr">
        <is>
          <t>Downside cost response: if the tranche-2 milestone is missed, hiring and spending are held at year-2 levels. Then the downside case reaches the milestone in month 55, breaks even in year 6 and needs $7.6M including buffer. Without that response, the downside case would run out of seed money around month 45.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</cols>
  <sheetData>
    <row r="1">
      <c r="A1" s="1" t="inlineStr">
        <is>
          <t>Use of funds</t>
        </is>
      </c>
    </row>
    <row r="3">
      <c r="A3" s="3" t="inlineStr">
        <is>
          <t>Seed round: $7.50M, months 0-43 of the base case</t>
        </is>
      </c>
    </row>
    <row r="4">
      <c r="A4" s="4" t="inlineStr">
        <is>
          <t>Function</t>
        </is>
      </c>
      <c r="B4" s="5" t="inlineStr">
        <is>
          <t>$M</t>
        </is>
      </c>
      <c r="C4" s="5" t="inlineStr">
        <is>
          <t>Share</t>
        </is>
      </c>
    </row>
    <row r="5">
      <c r="A5" s="2" t="inlineStr">
        <is>
          <t>General and administrative</t>
        </is>
      </c>
      <c r="B5" s="8" t="n">
        <v>1.153</v>
      </c>
      <c r="C5" s="24">
        <f>B5/SUM($B$5:$B$11)</f>
        <v/>
      </c>
    </row>
    <row r="6">
      <c r="A6" s="2" t="inlineStr">
        <is>
          <t>Product and engineering</t>
        </is>
      </c>
      <c r="B6" s="8" t="n">
        <v>1.697</v>
      </c>
      <c r="C6" s="24">
        <f>B6/SUM($B$5:$B$11)</f>
        <v/>
      </c>
    </row>
    <row r="7">
      <c r="A7" s="2" t="inlineStr">
        <is>
          <t>Security</t>
        </is>
      </c>
      <c r="B7" s="8" t="n">
        <v>0.707</v>
      </c>
      <c r="C7" s="24">
        <f>B7/SUM($B$5:$B$11)</f>
        <v/>
      </c>
    </row>
    <row r="8">
      <c r="A8" s="2" t="inlineStr">
        <is>
          <t>Sales and marketing</t>
        </is>
      </c>
      <c r="B8" s="8" t="n">
        <v>1.947</v>
      </c>
      <c r="C8" s="24">
        <f>B8/SUM($B$5:$B$11)</f>
        <v/>
      </c>
    </row>
    <row r="9">
      <c r="A9" s="2" t="inlineStr">
        <is>
          <t>Claims operations and customer success</t>
        </is>
      </c>
      <c r="B9" s="8" t="n">
        <v>0.63</v>
      </c>
      <c r="C9" s="24">
        <f>B9/SUM($B$5:$B$11)</f>
        <v/>
      </c>
    </row>
    <row r="10">
      <c r="A10" s="2" t="inlineStr">
        <is>
          <t>Reserve (20% buffer)</t>
        </is>
      </c>
      <c r="B10" s="8" t="n">
        <v>1.227</v>
      </c>
      <c r="C10" s="24">
        <f>B10/SUM($B$5:$B$11)</f>
        <v/>
      </c>
    </row>
    <row r="11">
      <c r="A11" s="2" t="inlineStr">
        <is>
          <t>Unallocated: faster hiring or downside cover</t>
        </is>
      </c>
      <c r="B11" s="8" t="n">
        <v>0.141</v>
      </c>
      <c r="C11" s="24">
        <f>B11/SUM($B$5:$B$11)</f>
        <v/>
      </c>
    </row>
    <row r="12">
      <c r="A12" s="12" t="inlineStr">
        <is>
          <t>Total</t>
        </is>
      </c>
      <c r="B12" s="25">
        <f>SUM(B5:B11)</f>
        <v/>
      </c>
    </row>
    <row r="13">
      <c r="A13" s="7" t="inlineStr">
        <is>
          <t>Gross spend $8.83M less gross profit $2.70M = net burn $6.13M; functions in proportion to gross spend; plus 20% buffer; remainder unallocated.</t>
        </is>
      </c>
    </row>
    <row r="25">
      <c r="A25" s="3" t="inlineStr">
        <is>
          <t>Series A: $8.50M, months 37-67 of the base case</t>
        </is>
      </c>
    </row>
    <row r="26">
      <c r="A26" s="4" t="inlineStr">
        <is>
          <t>Function</t>
        </is>
      </c>
      <c r="B26" s="5" t="inlineStr">
        <is>
          <t>$M</t>
        </is>
      </c>
      <c r="C26" s="5" t="inlineStr">
        <is>
          <t>Share</t>
        </is>
      </c>
    </row>
    <row r="27">
      <c r="A27" s="2" t="inlineStr">
        <is>
          <t>General and administrative</t>
        </is>
      </c>
      <c r="B27" s="8" t="n">
        <v>0.543</v>
      </c>
      <c r="C27" s="24">
        <f>B27/SUM($B$27:$B$33)</f>
        <v/>
      </c>
    </row>
    <row r="28">
      <c r="A28" s="2" t="inlineStr">
        <is>
          <t>Product and engineering</t>
        </is>
      </c>
      <c r="B28" s="8" t="n">
        <v>1.298</v>
      </c>
      <c r="C28" s="24">
        <f>B28/SUM($B$27:$B$33)</f>
        <v/>
      </c>
    </row>
    <row r="29">
      <c r="A29" s="2" t="inlineStr">
        <is>
          <t>Security</t>
        </is>
      </c>
      <c r="B29" s="8" t="n">
        <v>0.341</v>
      </c>
      <c r="C29" s="24">
        <f>B29/SUM($B$27:$B$33)</f>
        <v/>
      </c>
    </row>
    <row r="30">
      <c r="A30" s="2" t="inlineStr">
        <is>
          <t>Sales and marketing</t>
        </is>
      </c>
      <c r="B30" s="8" t="n">
        <v>1.942</v>
      </c>
      <c r="C30" s="24">
        <f>B30/SUM($B$27:$B$33)</f>
        <v/>
      </c>
    </row>
    <row r="31">
      <c r="A31" s="2" t="inlineStr">
        <is>
          <t>Claims operations and customer success</t>
        </is>
      </c>
      <c r="B31" s="8" t="n">
        <v>0.662</v>
      </c>
      <c r="C31" s="24">
        <f>B31/SUM($B$27:$B$33)</f>
        <v/>
      </c>
    </row>
    <row r="32">
      <c r="A32" s="2" t="inlineStr">
        <is>
          <t>Reserve (20% buffer)</t>
        </is>
      </c>
      <c r="B32" s="8" t="n">
        <v>0.957</v>
      </c>
      <c r="C32" s="24">
        <f>B32/SUM($B$27:$B$33)</f>
        <v/>
      </c>
    </row>
    <row r="33">
      <c r="A33" s="2" t="inlineStr">
        <is>
          <t>Unallocated: faster hiring or downside cover</t>
        </is>
      </c>
      <c r="B33" s="8" t="n">
        <v>2.756</v>
      </c>
      <c r="C33" s="24">
        <f>B33/SUM($B$27:$B$33)</f>
        <v/>
      </c>
    </row>
    <row r="34">
      <c r="A34" s="12" t="inlineStr">
        <is>
          <t>Total</t>
        </is>
      </c>
      <c r="B34" s="25">
        <f>SUM(B27:B33)</f>
        <v/>
      </c>
    </row>
    <row r="35">
      <c r="A35" s="7" t="inlineStr">
        <is>
          <t>Gross spend $17.24M less gross profit $12.46M = net burn $4.79M; functions in proportion to gross spend; plus 20% buffer; remainder unallocated.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60" customWidth="1" min="3" max="3"/>
  </cols>
  <sheetData>
    <row r="1">
      <c r="A1" s="1" t="inlineStr">
        <is>
          <t>Unit economics (base case, year 3)</t>
        </is>
      </c>
    </row>
    <row r="3">
      <c r="A3" s="4" t="inlineStr">
        <is>
          <t>Metric</t>
        </is>
      </c>
      <c r="B3" s="5" t="inlineStr">
        <is>
          <t>Value</t>
        </is>
      </c>
      <c r="C3" s="5" t="inlineStr">
        <is>
          <t>Basis</t>
        </is>
      </c>
    </row>
    <row r="4">
      <c r="A4" s="2" t="inlineStr">
        <is>
          <t>Revenue per account ($K)</t>
        </is>
      </c>
      <c r="B4" s="18">
        <f>Base!D11</f>
        <v/>
      </c>
      <c r="C4" s="7" t="inlineStr">
        <is>
          <t>Base case Y3</t>
        </is>
      </c>
    </row>
    <row r="5">
      <c r="A5" s="2" t="inlineStr">
        <is>
          <t>Gross margin</t>
        </is>
      </c>
      <c r="B5" s="21">
        <f>Base!D12</f>
        <v/>
      </c>
      <c r="C5" s="7" t="inlineStr">
        <is>
          <t>Base case Y3</t>
        </is>
      </c>
    </row>
    <row r="6">
      <c r="A6" s="2" t="inlineStr">
        <is>
          <t>Annual account churn</t>
        </is>
      </c>
      <c r="B6" s="21">
        <f>Base!B6</f>
        <v/>
      </c>
      <c r="C6" s="7" t="inlineStr">
        <is>
          <t>Base case</t>
        </is>
      </c>
    </row>
    <row r="7">
      <c r="A7" s="2" t="inlineStr">
        <is>
          <t>Expected account lifetime (years)</t>
        </is>
      </c>
      <c r="B7" s="26">
        <f>1/B6</f>
        <v/>
      </c>
      <c r="C7" s="7" t="inlineStr">
        <is>
          <t>1 / churn</t>
        </is>
      </c>
    </row>
    <row r="8">
      <c r="A8" s="2" t="inlineStr">
        <is>
          <t>Lifetime gross profit per account ($K)</t>
        </is>
      </c>
      <c r="B8" s="18">
        <f>B4*B5*B7</f>
        <v/>
      </c>
      <c r="C8" s="7" t="inlineStr">
        <is>
          <t>Revenue x margin x lifetime</t>
        </is>
      </c>
    </row>
    <row r="9">
      <c r="A9" s="2" t="inlineStr">
        <is>
          <t>Plan: sales and marketing cost per $1 of new ARR</t>
        </is>
      </c>
      <c r="B9" s="22">
        <f>Base!D25</f>
        <v/>
      </c>
      <c r="C9" s="7" t="inlineStr">
        <is>
          <t>From the base case</t>
        </is>
      </c>
    </row>
    <row r="10">
      <c r="A10" s="2" t="inlineStr">
        <is>
          <t>Acquisition cost per account ($K)</t>
        </is>
      </c>
      <c r="B10" s="18">
        <f>B9*B4</f>
        <v/>
      </c>
      <c r="C10" s="7" t="inlineStr">
        <is>
          <t>Ratio x revenue per account</t>
        </is>
      </c>
    </row>
    <row r="11">
      <c r="A11" s="2" t="inlineStr">
        <is>
          <t>Lifetime gross profit / acquisition cost</t>
        </is>
      </c>
      <c r="B11" s="27">
        <f>B8/B10</f>
        <v/>
      </c>
      <c r="C11" s="7" t="inlineStr">
        <is>
          <t>Target above 3x</t>
        </is>
      </c>
    </row>
    <row r="12">
      <c r="A12" s="2" t="inlineStr">
        <is>
          <t>Months of gross profit to repay acquisition cost</t>
        </is>
      </c>
      <c r="B12" s="26">
        <f>B10/(B4*B5)*12</f>
        <v/>
      </c>
      <c r="C12" s="7" t="inlineStr"/>
    </row>
    <row r="13">
      <c r="A13" s="2" t="inlineStr">
        <is>
          <t>Benchmark: sales and marketing per $1 of new ARR</t>
        </is>
      </c>
      <c r="B13" s="15" t="n">
        <v>2</v>
      </c>
      <c r="C13" s="7" t="inlineStr">
        <is>
          <t>2024 median (Benchmarkit 2025 report, B)</t>
        </is>
      </c>
    </row>
    <row r="14">
      <c r="A14" s="2" t="inlineStr">
        <is>
          <t>Lifetime gross profit / acquisition cost at benchmark</t>
        </is>
      </c>
      <c r="B14" s="27">
        <f>B8/(B13*B4)</f>
        <v/>
      </c>
      <c r="C14" s="7" t="inlineStr">
        <is>
          <t>Stress case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00" customWidth="1" min="3" max="3"/>
  </cols>
  <sheetData>
    <row r="1">
      <c r="A1" s="1" t="inlineStr">
        <is>
          <t>What a customer recovers (illustrative, sourced)</t>
        </is>
      </c>
    </row>
    <row r="3">
      <c r="A3" s="4" t="inlineStr">
        <is>
          <t>Item</t>
        </is>
      </c>
      <c r="B3" s="5" t="inlineStr">
        <is>
          <t>Value</t>
        </is>
      </c>
      <c r="C3" s="5" t="inlineStr">
        <is>
          <t>Source / grade</t>
        </is>
      </c>
    </row>
    <row r="4">
      <c r="A4" s="2" t="inlineStr">
        <is>
          <t>Truck detention owed per 1,000 loads ($)</t>
        </is>
      </c>
      <c r="B4" s="28" t="n">
        <v>56400</v>
      </c>
      <c r="C4" s="7" t="inlineStr">
        <is>
          <t>Our Monte Carlo calibrated on ATRI 2024 (2023 data); amounts computed with the scoup rules engine</t>
        </is>
      </c>
    </row>
    <row r="5">
      <c r="A5" s="2" t="inlineStr">
        <is>
          <t>Collected today per 1,000 loads ($)</t>
        </is>
      </c>
      <c r="B5" s="28" t="n">
        <v>22600</v>
      </c>
      <c r="C5" s="7" t="inlineStr">
        <is>
          <t>40% collected; ATRI implies 36-46% (A/B)</t>
        </is>
      </c>
    </row>
    <row r="6">
      <c r="A6" s="2" t="inlineStr">
        <is>
          <t>Additional collected with scoup, pay rate unchanged ($)</t>
        </is>
      </c>
      <c r="B6" s="28" t="n">
        <v>7540</v>
      </c>
      <c r="C6" s="7" t="inlineStr">
        <is>
          <t>Every event with gate times billed; 5-95% range $4.4K-$11.0K</t>
        </is>
      </c>
    </row>
    <row r="7">
      <c r="A7" s="2" t="inlineStr">
        <is>
          <t>Additional if evidence lifts pay rate to 65% ($, scenario)</t>
        </is>
      </c>
      <c r="B7" s="28" t="n">
        <v>12670</v>
      </c>
      <c r="C7" s="7" t="inlineStr">
        <is>
          <t>Pay-rate lift not yet measured</t>
        </is>
      </c>
    </row>
    <row r="8">
      <c r="A8" s="2" t="inlineStr">
        <is>
          <t>Fuel surcharge overbilling per affected 500-mile load ($)</t>
        </is>
      </c>
      <c r="B8" s="28" t="n">
        <v>9</v>
      </c>
      <c r="C8" s="7" t="inlineStr">
        <is>
          <t>$6.86-$11.88 on EIA weekly diesel 2021-2026 (A, our analysis). Latest EIA week 2026-10-19: $6.276/gal (released 2026-10-20)</t>
        </is>
      </c>
    </row>
    <row r="9">
      <c r="A9" s="2" t="inlineStr">
        <is>
          <t>Fuel surcharge recoverable, 10,000 loads, 20% affected ($)</t>
        </is>
      </c>
      <c r="B9" s="28" t="n">
        <v>16000</v>
      </c>
      <c r="C9" s="7" t="inlineStr">
        <is>
          <t>Incidence is an assumption to be measured</t>
        </is>
      </c>
    </row>
    <row r="10">
      <c r="A10" s="2" t="inlineStr">
        <is>
          <t>Container fee exposure, 2,000 TEU importer ($)</t>
        </is>
      </c>
      <c r="B10" s="28">
        <f>ROUND(3080000000/28079201*2000,-3)</f>
        <v/>
      </c>
      <c r="C10" s="7" t="inlineStr">
        <is>
          <t>FMC about $15.4B over Apr 2020-Mar 2025 = $3.08B/yr (A) / US container imports 2025 28,079,201 TEU (Descartes, B) = about $110/TEU (C; rough: FMC covers 9 carriers, imports and exports)</t>
        </is>
      </c>
    </row>
    <row r="11">
      <c r="A11" s="2" t="inlineStr">
        <is>
          <t>Container fees recoverable at 15% ($)</t>
        </is>
      </c>
      <c r="B11" s="28">
        <f>ROUND(B10*0.15,-2)</f>
        <v/>
      </c>
      <c r="C11" s="7" t="inlineStr">
        <is>
          <t>Share is an assumption; 46 CFR 541.5 and 541.7 make non-compliant invoices non-payable (A)</t>
        </is>
      </c>
    </row>
    <row r="12">
      <c r="A12" s="2" t="inlineStr">
        <is>
          <t>Accessorial names recognised at confidence threshold</t>
        </is>
      </c>
      <c r="B12" s="6" t="n">
        <v>0.9119496855345912</v>
      </c>
      <c r="C12" s="7" t="inlineStr">
        <is>
          <t>145 of 159 in one internal run (158/159 in another record): INTERNAL test on public tariff names, not customer invoices; not independently reproduced. Do not quote externally</t>
        </is>
      </c>
    </row>
    <row r="13">
      <c r="A13" s="2" t="inlineStr">
        <is>
          <t>Accessorial names recognised by our earlier keyword rules</t>
        </is>
      </c>
      <c r="B13" s="6" t="n">
        <v>0.119496855345912</v>
      </c>
      <c r="C13" s="7" t="inlineStr">
        <is>
          <t>Same test (our analysis)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70" customWidth="1" min="3" max="3"/>
    <col width="10" customWidth="1" min="4" max="4"/>
  </cols>
  <sheetData>
    <row r="1">
      <c r="A1" s="1" t="inlineStr">
        <is>
          <t>Comparable companies</t>
        </is>
      </c>
    </row>
    <row r="3">
      <c r="A3" s="4" t="inlineStr">
        <is>
          <t>Company</t>
        </is>
      </c>
      <c r="B3" s="5" t="inlineStr">
        <is>
          <t>What they do</t>
        </is>
      </c>
      <c r="C3" s="5" t="inlineStr">
        <is>
          <t>Funding / financials</t>
        </is>
      </c>
      <c r="D3" s="5" t="inlineStr">
        <is>
          <t>Grade</t>
        </is>
      </c>
    </row>
    <row r="4">
      <c r="A4" s="2" t="inlineStr">
        <is>
          <t>Loop</t>
        </is>
      </c>
      <c r="B4" s="2" t="inlineStr">
        <is>
          <t>AI freight audit and payment</t>
        </is>
      </c>
      <c r="C4" s="2" t="inlineStr">
        <is>
          <t>Series B $35M (Oct 2023); Series C $95M (17 Apr 2026, led by Valor Equity Partners); about $160M total (Sacra estimate)</t>
        </is>
      </c>
      <c r="D4" s="2" t="inlineStr">
        <is>
          <t>A (Series C) / C (total)</t>
        </is>
      </c>
    </row>
    <row r="5">
      <c r="A5" s="2" t="inlineStr">
        <is>
          <t>Intelligent Audit</t>
        </is>
      </c>
      <c r="B5" s="2" t="inlineStr">
        <is>
          <t>Freight and parcel audit and recovery</t>
        </is>
      </c>
      <c r="C5" s="2" t="inlineStr">
        <is>
          <t>Self-funded; mid-market offer since Jun 2025</t>
        </is>
      </c>
      <c r="D5" s="2" t="inlineStr">
        <is>
          <t>C</t>
        </is>
      </c>
    </row>
    <row r="6">
      <c r="A6" s="2" t="inlineStr">
        <is>
          <t>Trax Technologies</t>
        </is>
      </c>
      <c r="B6" s="2" t="inlineStr">
        <is>
          <t>Global freight audit and payment</t>
        </is>
      </c>
      <c r="C6" s="2" t="inlineStr">
        <is>
          <t>Accel-KKR credit facility (Sep 2021)</t>
        </is>
      </c>
      <c r="D6" s="2" t="inlineStr">
        <is>
          <t>A</t>
        </is>
      </c>
    </row>
    <row r="7">
      <c r="A7" s="2" t="inlineStr">
        <is>
          <t>Cass Information Systems</t>
        </is>
      </c>
      <c r="B7" s="2" t="inlineStr">
        <is>
          <t>Freight audit and payment (bank-owned)</t>
        </is>
      </c>
      <c r="C7" s="2" t="inlineStr">
        <is>
          <t>FY2025 revenue $190.8M; net income $35.1M; transportation dollar volume $36.4B (8-K, 22 Jan 2026)</t>
        </is>
      </c>
      <c r="D7" s="2" t="inlineStr">
        <is>
          <t>A</t>
        </is>
      </c>
    </row>
    <row r="8">
      <c r="A8" s="2" t="inlineStr">
        <is>
          <t>DockClock (Platform Science marketplace)</t>
        </is>
      </c>
      <c r="B8" s="2" t="inlineStr">
        <is>
          <t>ELD-based detention billing</t>
        </is>
      </c>
      <c r="C8" s="2" t="inlineStr">
        <is>
          <t>Not disclosed</t>
        </is>
      </c>
      <c r="D8" s="2" t="inlineStr">
        <is>
          <t>A (product)</t>
        </is>
      </c>
    </row>
    <row r="9">
      <c r="A9" s="2" t="inlineStr">
        <is>
          <t>Freehand (founded by former Pando executives)</t>
        </is>
      </c>
      <c r="B9" s="2" t="inlineStr">
        <is>
          <t>Supply-chain invoice verification and recovery</t>
        </is>
      </c>
      <c r="C9" s="2" t="inlineStr">
        <is>
          <t>Series A $25M (Mar 2024); Series B $75M (29 Jul 2026, Battery Ventures and NewRoad); about $100M total</t>
        </is>
      </c>
      <c r="D9" s="2" t="inlineStr">
        <is>
          <t>B</t>
        </is>
      </c>
    </row>
    <row r="10">
      <c r="A10" s="2" t="inlineStr">
        <is>
          <t>Terminal49</t>
        </is>
      </c>
      <c r="B10" s="2" t="inlineStr">
        <is>
          <t>Container tracking</t>
        </is>
      </c>
      <c r="C10" s="2" t="inlineStr">
        <is>
          <t>Series A $6.5M (Jan 2023); $8.7M total</t>
        </is>
      </c>
      <c r="D10" s="2" t="inlineStr">
        <is>
          <t>B</t>
        </is>
      </c>
    </row>
    <row r="11">
      <c r="A11" s="2" t="inlineStr">
        <is>
          <t>Vizion</t>
        </is>
      </c>
      <c r="B11" s="2" t="inlineStr">
        <is>
          <t>Container event data</t>
        </is>
      </c>
      <c r="C11" s="2" t="inlineStr">
        <is>
          <t>Series A $14M (2022); total ~$17M (estimate)</t>
        </is>
      </c>
      <c r="D11" s="2" t="inlineStr">
        <is>
          <t>A/C</t>
        </is>
      </c>
    </row>
    <row r="12">
      <c r="A12" s="2" t="inlineStr">
        <is>
          <t>HappyRobot</t>
        </is>
      </c>
      <c r="B12" s="2" t="inlineStr">
        <is>
          <t>AI agents for freight operators</t>
        </is>
      </c>
      <c r="C12" s="2" t="inlineStr">
        <is>
          <t>Series B $44M (Sep 2025, led by Base10) at about $500M valuation</t>
        </is>
      </c>
      <c r="D12" s="2" t="inlineStr">
        <is>
          <t>B</t>
        </is>
      </c>
    </row>
    <row r="13">
      <c r="A13" s="2" t="inlineStr">
        <is>
          <t>Freightos (NASDAQ: CRGO)</t>
        </is>
      </c>
      <c r="B13" s="2" t="inlineStr">
        <is>
          <t>Booking and rate data</t>
        </is>
      </c>
      <c r="C13" s="2" t="inlineStr">
        <is>
          <t>FY2025 revenue $29.5M; IFRS net loss $17.5M</t>
        </is>
      </c>
      <c r="D13" s="2" t="inlineStr">
        <is>
          <t>A</t>
        </is>
      </c>
    </row>
    <row r="14">
      <c r="A14" s="2" t="inlineStr">
        <is>
          <t>Transporeon (Trimble)</t>
        </is>
      </c>
      <c r="B14" s="2" t="inlineStr">
        <is>
          <t>Logistics network incl. freight audit</t>
        </is>
      </c>
      <c r="C14" s="2" t="inlineStr">
        <is>
          <t>Acquired for ~EUR 1.9B (~$2.0B), 2023</t>
        </is>
      </c>
      <c r="D14" s="2" t="inlineStr">
        <is>
          <t>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00" customWidth="1" min="2" max="2"/>
    <col width="8" customWidth="1" min="3" max="3"/>
  </cols>
  <sheetData>
    <row r="1">
      <c r="A1" s="1" t="inlineStr">
        <is>
          <t>Sources</t>
        </is>
      </c>
    </row>
    <row r="3">
      <c r="A3" s="4" t="inlineStr">
        <is>
          <t>Source</t>
        </is>
      </c>
      <c r="B3" s="5" t="inlineStr">
        <is>
          <t>URL</t>
        </is>
      </c>
      <c r="C3" s="5" t="inlineStr">
        <is>
          <t>Grade</t>
        </is>
      </c>
    </row>
    <row r="4">
      <c r="A4" s="2" t="inlineStr">
        <is>
          <t>ATRI, Costs and Consequences of Truck Driver Detention (Sep 2024, 2023 data)</t>
        </is>
      </c>
      <c r="B4" s="7" t="inlineStr">
        <is>
          <t>https://truckingresearch.org/wp-content/uploads/2024/09/ATRI-Costs-and-Consequences-of-Truck-Driver-Detention-09-2024.pdf</t>
        </is>
      </c>
      <c r="C4" s="2" t="inlineStr">
        <is>
          <t>A/B</t>
        </is>
      </c>
    </row>
    <row r="5">
      <c r="A5" s="2" t="inlineStr">
        <is>
          <t>FMC detention and demurrage data</t>
        </is>
      </c>
      <c r="B5" s="7" t="inlineStr">
        <is>
          <t>https://www.fmc.gov/detention-and-demurrage/</t>
        </is>
      </c>
      <c r="C5" s="2" t="inlineStr">
        <is>
          <t>A</t>
        </is>
      </c>
    </row>
    <row r="6">
      <c r="A6" s="2" t="inlineStr">
        <is>
          <t>46 CFR 541.5 / 541.6 / 541.7</t>
        </is>
      </c>
      <c r="B6" s="7" t="inlineStr">
        <is>
          <t>https://www.ecfr.gov/current/title-46/chapter-IV/subchapter-B/part-541</t>
        </is>
      </c>
      <c r="C6" s="2" t="inlineStr">
        <is>
          <t>A</t>
        </is>
      </c>
    </row>
    <row r="7">
      <c r="A7" s="2" t="inlineStr">
        <is>
          <t>EIA weekly diesel (FRED GASDESW)</t>
        </is>
      </c>
      <c r="B7" s="7" t="inlineStr">
        <is>
          <t>https://fred.stlouisfed.org/series/GASDESW</t>
        </is>
      </c>
      <c r="C7" s="2" t="inlineStr">
        <is>
          <t>A</t>
        </is>
      </c>
    </row>
    <row r="8">
      <c r="A8" s="2" t="inlineStr">
        <is>
          <t>BLS PPI long-distance truckload (FRED PCU4841214841212)</t>
        </is>
      </c>
      <c r="B8" s="7" t="inlineStr">
        <is>
          <t>https://fred.stlouisfed.org/series/PCU4841214841212</t>
        </is>
      </c>
      <c r="C8" s="2" t="inlineStr">
        <is>
          <t>A</t>
        </is>
      </c>
    </row>
    <row r="9">
      <c r="A9" s="2" t="inlineStr">
        <is>
          <t>Carta, ARR at Series A</t>
        </is>
      </c>
      <c r="B9" s="7" t="inlineStr">
        <is>
          <t>https://carta.com/data/newsletter-arr-at-series-a/</t>
        </is>
      </c>
      <c r="C9" s="2" t="inlineStr">
        <is>
          <t>B</t>
        </is>
      </c>
    </row>
    <row r="10">
      <c r="A10" s="2" t="inlineStr">
        <is>
          <t>BLS Occupational Outlook; BLS ECEC</t>
        </is>
      </c>
      <c r="B10" s="7" t="inlineStr">
        <is>
          <t>https://www.bls.gov/ooh/computer-and-information-technology/software-developers.htm</t>
        </is>
      </c>
      <c r="C10" s="2" t="inlineStr">
        <is>
          <t>A</t>
        </is>
      </c>
    </row>
    <row r="11">
      <c r="A11" s="2" t="inlineStr">
        <is>
          <t>SSB wages; Skatteetaten employer tax</t>
        </is>
      </c>
      <c r="B11" s="7" t="inlineStr">
        <is>
          <t>https://www.ssb.no/arbeid-og-lonn/lonn-og-arbeidskraftkostnader/statistikk/lonn</t>
        </is>
      </c>
      <c r="C11" s="2" t="inlineStr">
        <is>
          <t>A</t>
        </is>
      </c>
    </row>
    <row r="12">
      <c r="A12" s="2" t="inlineStr">
        <is>
          <t>Benchmarkit 2025 report (2024 data)</t>
        </is>
      </c>
      <c r="B12" s="7" t="inlineStr">
        <is>
          <t>https://www.benchmarkit.ai/2025benchmarks</t>
        </is>
      </c>
      <c r="C12" s="2" t="inlineStr">
        <is>
          <t>B</t>
        </is>
      </c>
    </row>
    <row r="13">
      <c r="A13" s="2" t="inlineStr">
        <is>
          <t>Refund Retriever published pricing</t>
        </is>
      </c>
      <c r="B13" s="7" t="inlineStr">
        <is>
          <t>https://www.refundretriever.com/pricing</t>
        </is>
      </c>
      <c r="C13" s="2" t="inlineStr">
        <is>
          <t>A</t>
        </is>
      </c>
    </row>
    <row r="14">
      <c r="A14" s="2" t="inlineStr">
        <is>
          <t>Cass FY2025 10-K</t>
        </is>
      </c>
      <c r="B14" s="7" t="inlineStr">
        <is>
          <t>https://www.sec.gov/Archives/edgar/data/708781/000070878126000010/cass-20251231.htm</t>
        </is>
      </c>
      <c r="C14" s="2" t="inlineStr">
        <is>
          <t>A</t>
        </is>
      </c>
    </row>
    <row r="15">
      <c r="A15" s="2" t="inlineStr">
        <is>
          <t>Loop Series C</t>
        </is>
      </c>
      <c r="B15" s="7" t="inlineStr">
        <is>
          <t>https://www.loop.com/article/loop-raises-95m-series-c-to-scale-its-ai-platform-across-the-supply-chain</t>
        </is>
      </c>
      <c r="C15" s="2" t="inlineStr">
        <is>
          <t>A</t>
        </is>
      </c>
    </row>
    <row r="16">
      <c r="A16" t="inlineStr">
        <is>
          <t>EIA weekly U.S. retail diesel; week 2026-10-12 $6.179/gal; prior week $6.199</t>
        </is>
      </c>
      <c r="B16" t="inlineStr">
        <is>
          <t>https://www.eia.gov/dnav/pet/pet_pri_gnd_a_epd2d_pte_dpgal_w.htm</t>
        </is>
      </c>
      <c r="C16" t="inlineStr">
        <is>
          <t>A; accessed 2026-10-19</t>
        </is>
      </c>
    </row>
    <row r="17">
      <c r="A17" t="inlineStr">
        <is>
          <t>RXO accessorial survey, 750 shipping professionals</t>
        </is>
      </c>
      <c r="B17" t="inlineStr">
        <is>
          <t>https://rxo.com/resources/research/freight-accessorials/</t>
        </is>
      </c>
      <c r="C17" t="inlineStr">
        <is>
          <t>Vendor survey; accessed 2026-10-19</t>
        </is>
      </c>
    </row>
    <row r="18">
      <c r="A18" t="inlineStr">
        <is>
          <t>Federal Register 2025-23920; §541.4 removed/reserved</t>
        </is>
      </c>
      <c r="B18" t="inlineStr">
        <is>
          <t>https://www.federalregister.gov/documents/2025/12/29/2025-23920/demurrage-and-detention-billing-requirements-properly-issued-invoices-provision-set-aside-by-court</t>
        </is>
      </c>
      <c r="C18" t="inlineStr">
        <is>
          <t>Primary; effective 2025-12-29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36" customWidth="1" min="3" max="3"/>
    <col width="70" customWidth="1" min="4" max="4"/>
    <col width="14" customWidth="1" min="5" max="5"/>
    <col width="12" customWidth="1" min="6" max="6"/>
    <col width="46" customWidth="1" min="7" max="7"/>
  </cols>
  <sheetData>
    <row r="1">
      <c r="A1" s="34" t="inlineStr">
        <is>
          <t>Cell(s)</t>
        </is>
      </c>
      <c r="B1" s="34" t="inlineStr">
        <is>
          <t>Figure</t>
        </is>
      </c>
      <c r="C1" s="34" t="inlineStr">
        <is>
          <t>Source</t>
        </is>
      </c>
      <c r="D1" s="34" t="inlineStr">
        <is>
          <t>URL</t>
        </is>
      </c>
      <c r="E1" s="34" t="inlineStr">
        <is>
          <t>Published</t>
        </is>
      </c>
      <c r="F1" s="34" t="inlineStr">
        <is>
          <t>Accessed</t>
        </is>
      </c>
      <c r="G1" s="34" t="inlineStr">
        <is>
          <t>Status</t>
        </is>
      </c>
    </row>
    <row r="2">
      <c r="A2" t="inlineStr">
        <is>
          <t>Assumptions!B5</t>
        </is>
      </c>
      <c r="B2" t="inlineStr">
        <is>
          <t>Median ARR at Series A, 2025: $2.8M (2024: $2.3M)</t>
        </is>
      </c>
      <c r="C2" t="inlineStr">
        <is>
          <t>Carta</t>
        </is>
      </c>
      <c r="D2" t="inlineStr">
        <is>
          <t>https://carta.com/data/newsletter-arr-at-series-a/</t>
        </is>
      </c>
      <c r="E2" t="inlineStr">
        <is>
          <t>2026</t>
        </is>
      </c>
      <c r="F2" t="inlineStr">
        <is>
          <t>2026-10-22</t>
        </is>
      </c>
      <c r="G2" t="inlineStr">
        <is>
          <t>Secondary: search-indexed Carta page; direct fetch returned 403</t>
        </is>
      </c>
    </row>
    <row r="3">
      <c r="A3" t="inlineStr">
        <is>
          <t>Assumptions!I15</t>
        </is>
      </c>
      <c r="B3" t="inlineStr">
        <is>
          <t>Parcel refund audit fee 50/45/40% by volume band</t>
        </is>
      </c>
      <c r="C3" t="inlineStr">
        <is>
          <t>Refund Retriever pricing</t>
        </is>
      </c>
      <c r="D3" t="inlineStr">
        <is>
          <t>https://www.refundretriever.com/pricing</t>
        </is>
      </c>
      <c r="E3" t="inlineStr">
        <is>
          <t>live page</t>
        </is>
      </c>
      <c r="F3" t="inlineStr">
        <is>
          <t>2026-10-22</t>
        </is>
      </c>
      <c r="G3" t="inlineStr">
        <is>
          <t>VERIFIED primary (vendor price)</t>
        </is>
      </c>
    </row>
    <row r="4">
      <c r="A4" t="inlineStr">
        <is>
          <t>Base/Upside/Downside!I6</t>
        </is>
      </c>
      <c r="B4" t="inlineStr">
        <is>
          <t>GRR fell from 90% to 88% over three years; NRR 101%</t>
        </is>
      </c>
      <c r="C4" t="inlineStr">
        <is>
          <t>Benchmarkit 2025 SaaS Performance Metrics</t>
        </is>
      </c>
      <c r="D4" t="inlineStr">
        <is>
          <t>https://www.benchmarkit.ai/2025benchmarks</t>
        </is>
      </c>
      <c r="E4" t="inlineStr">
        <is>
          <t>2025</t>
        </is>
      </c>
      <c r="F4" t="inlineStr">
        <is>
          <t>2026-10-22</t>
        </is>
      </c>
      <c r="G4" t="inlineStr">
        <is>
          <t>VERIFIED primary</t>
        </is>
      </c>
    </row>
    <row r="5">
      <c r="A5" t="inlineStr">
        <is>
          <t>Base!I25; Unit economics!B13</t>
        </is>
      </c>
      <c r="B5" t="inlineStr">
        <is>
          <t>Median New CAC ratio $2.00 per $1 of new ARR (2024)</t>
        </is>
      </c>
      <c r="C5" t="inlineStr">
        <is>
          <t>Benchmarkit 2025 SaaS Performance Metrics</t>
        </is>
      </c>
      <c r="D5" t="inlineStr">
        <is>
          <t>https://www.benchmarkit.ai/2025benchmarks</t>
        </is>
      </c>
      <c r="E5" t="inlineStr">
        <is>
          <t>2025</t>
        </is>
      </c>
      <c r="F5" t="inlineStr">
        <is>
          <t>2026-10-22</t>
        </is>
      </c>
      <c r="G5" t="inlineStr">
        <is>
          <t>VERIFIED primary</t>
        </is>
      </c>
    </row>
    <row r="6">
      <c r="A6" t="inlineStr">
        <is>
          <t>Customer value!B10:C10</t>
        </is>
      </c>
      <c r="B6" t="inlineStr">
        <is>
          <t>D&amp;D about $15.4B, 9 carriers, Apr 2020-Mar 2025</t>
        </is>
      </c>
      <c r="C6" t="inlineStr">
        <is>
          <t>Federal Maritime Commission</t>
        </is>
      </c>
      <c r="D6" t="inlineStr">
        <is>
          <t>https://www.fmc.gov/detention-and-demurrage/</t>
        </is>
      </c>
      <c r="E6" t="inlineStr">
        <is>
          <t>2025</t>
        </is>
      </c>
      <c r="F6" t="inlineStr">
        <is>
          <t>2026-10-22</t>
        </is>
      </c>
      <c r="G6" t="inlineStr">
        <is>
          <t>VERIFIED primary</t>
        </is>
      </c>
    </row>
    <row r="7">
      <c r="A7" t="inlineStr">
        <is>
          <t>Customer value!B10:C10</t>
        </is>
      </c>
      <c r="B7" t="inlineStr">
        <is>
          <t>US container imports 2025: 28,079,201 TEU (2024: 28,196,462)</t>
        </is>
      </c>
      <c r="C7" t="inlineStr">
        <is>
          <t>Descartes Global Shipping Report (Jan 2026)</t>
        </is>
      </c>
      <c r="D7" t="inlineStr">
        <is>
          <t>https://www.descartes.com/resources/knowledge-center/descartes-releases-january-global-shipping-report-december-us-0</t>
        </is>
      </c>
      <c r="E7" t="inlineStr">
        <is>
          <t>2026-01</t>
        </is>
      </c>
      <c r="F7" t="inlineStr">
        <is>
          <t>2026-10-22</t>
        </is>
      </c>
      <c r="G7" t="inlineStr">
        <is>
          <t>VERIFIED secondary (Descartes release via trade press)</t>
        </is>
      </c>
    </row>
    <row r="8">
      <c r="A8" t="inlineStr">
        <is>
          <t>Customer value!B8:C8</t>
        </is>
      </c>
      <c r="B8" t="inlineStr">
        <is>
          <t>Diesel $6.276/gal, week of 2026-10-19</t>
        </is>
      </c>
      <c r="C8" t="inlineStr">
        <is>
          <t>U.S. EIA weekly retail diesel</t>
        </is>
      </c>
      <c r="D8" t="inlineStr">
        <is>
          <t>https://www.eia.gov/dnav/pet/pet_pri_gnd_a_epd2d_pte_dpgal_w.htm</t>
        </is>
      </c>
      <c r="E8" t="inlineStr">
        <is>
          <t>2026-10-20</t>
        </is>
      </c>
      <c r="F8" t="inlineStr">
        <is>
          <t>2026-10-22</t>
        </is>
      </c>
      <c r="G8" t="inlineStr">
        <is>
          <t>VERIFIED primary</t>
        </is>
      </c>
    </row>
    <row r="9">
      <c r="A9" t="inlineStr">
        <is>
          <t>Customer value!B4:B7</t>
        </is>
      </c>
      <c r="B9" t="inlineStr">
        <is>
          <t>Detention in 39.3% of stops; 94.5% of fleets bill; fewer than half of invoices paid; $15.1B</t>
        </is>
      </c>
      <c r="C9" t="inlineStr">
        <is>
          <t>ATRI, Costs and Consequences of Truck Driver Detention</t>
        </is>
      </c>
      <c r="D9" t="inlineStr">
        <is>
          <t>https://truckingresearch.org/2024/09/new-research-documents-substantial-financial-and-safety-impacts-from-truck-driver-detention/</t>
        </is>
      </c>
      <c r="E9" t="inlineStr">
        <is>
          <t>2024-09-10</t>
        </is>
      </c>
      <c r="F9" t="inlineStr">
        <is>
          <t>2026-10-19</t>
        </is>
      </c>
      <c r="G9" t="inlineStr">
        <is>
          <t>VERIFIED primary; B4:B7 dollar amounts are our own simulation (C)</t>
        </is>
      </c>
    </row>
    <row r="10">
      <c r="A10" t="inlineStr">
        <is>
          <t>Customer value!C11</t>
        </is>
      </c>
      <c r="B10" t="inlineStr">
        <is>
          <t>46 CFR 541.5 and 541.7; 541.4 reserved</t>
        </is>
      </c>
      <c r="C10" t="inlineStr">
        <is>
          <t>eCFR; Federal Register 2025-23920</t>
        </is>
      </c>
      <c r="D10" t="inlineStr">
        <is>
          <t>https://www.ecfr.gov/current/title-46/chapter-IV/subchapter-B/part-541</t>
        </is>
      </c>
      <c r="E10" t="inlineStr">
        <is>
          <t>current through 2026-10-15</t>
        </is>
      </c>
      <c r="F10" t="inlineStr">
        <is>
          <t>2026-10-19</t>
        </is>
      </c>
      <c r="G10" t="inlineStr">
        <is>
          <t>VERIFIED primary in the 2026-10-19 ledger; eCFR blocked our 2026-10-22 fetch</t>
        </is>
      </c>
    </row>
    <row r="11">
      <c r="A11" t="inlineStr">
        <is>
          <t>Competitors!C4</t>
        </is>
      </c>
      <c r="B11" t="inlineStr">
        <is>
          <t>Loop Series C $95M, 17 Apr 2026</t>
        </is>
      </c>
      <c r="C11" t="inlineStr">
        <is>
          <t>Loop</t>
        </is>
      </c>
      <c r="D11" t="inlineStr">
        <is>
          <t>https://www.loop.com/article/loop-raises-95m-series-c-to-scale-its-ai-platform-across-the-supply-chain</t>
        </is>
      </c>
      <c r="E11" t="inlineStr">
        <is>
          <t>2026-04-17</t>
        </is>
      </c>
      <c r="F11" t="inlineStr">
        <is>
          <t>2026-10-22</t>
        </is>
      </c>
      <c r="G11" t="inlineStr">
        <is>
          <t>VERIFIED primary</t>
        </is>
      </c>
    </row>
    <row r="12">
      <c r="A12" t="inlineStr">
        <is>
          <t>Competitors!C7</t>
        </is>
      </c>
      <c r="B12" t="inlineStr">
        <is>
          <t>Cass FY2025 revenue $190.8M, net income $35.1M, $36.4B volume</t>
        </is>
      </c>
      <c r="C12" t="inlineStr">
        <is>
          <t>Cass 8-K exhibit 99.1</t>
        </is>
      </c>
      <c r="D12" t="inlineStr">
        <is>
          <t>https://www.sec.gov/Archives/edgar/data/708781/000070878126000002/cass-20251231xexx991.htm</t>
        </is>
      </c>
      <c r="E12" t="inlineStr">
        <is>
          <t>2026-01-22</t>
        </is>
      </c>
      <c r="F12" t="inlineStr">
        <is>
          <t>2026-10-22</t>
        </is>
      </c>
      <c r="G12" t="inlineStr">
        <is>
          <t>VERIFIED primary</t>
        </is>
      </c>
    </row>
    <row r="13">
      <c r="A13" t="inlineStr">
        <is>
          <t>Competitors!C9</t>
        </is>
      </c>
      <c r="B13" t="inlineStr">
        <is>
          <t>Freehand Series B $75M; about $100M raised</t>
        </is>
      </c>
      <c r="C13" t="inlineStr">
        <is>
          <t>Crunchbase News</t>
        </is>
      </c>
      <c r="D13" t="inlineStr">
        <is>
          <t>https://news.crunchbase.com/transportation/freehand-pando-enterprise-supply-chain-spend-management-startup/</t>
        </is>
      </c>
      <c r="E13" t="inlineStr">
        <is>
          <t>2026-07-29</t>
        </is>
      </c>
      <c r="F13" t="inlineStr">
        <is>
          <t>2026-10-22</t>
        </is>
      </c>
      <c r="G13" t="inlineStr">
        <is>
          <t>VERIFIED secondary</t>
        </is>
      </c>
    </row>
    <row r="14">
      <c r="A14" t="inlineStr">
        <is>
          <t>Competitors!C12</t>
        </is>
      </c>
      <c r="B14" t="inlineStr">
        <is>
          <t>HappyRobot Series B $44M at about $500M</t>
        </is>
      </c>
      <c r="C14" t="inlineStr">
        <is>
          <t>Reuters via Inc.</t>
        </is>
      </c>
      <c r="D14" t="inlineStr">
        <is>
          <t>https://www.inc.com/reuters/happyrobot-raises-44-million-to-expand-ai-agents/91234965</t>
        </is>
      </c>
      <c r="E14" t="inlineStr">
        <is>
          <t>2025-09</t>
        </is>
      </c>
      <c r="F14" t="inlineStr">
        <is>
          <t>2026-10-22</t>
        </is>
      </c>
      <c r="G14" t="inlineStr">
        <is>
          <t>VERIFIED secondary</t>
        </is>
      </c>
    </row>
    <row r="15">
      <c r="A15" t="inlineStr">
        <is>
          <t>Competitors!C5</t>
        </is>
      </c>
      <c r="B15" t="inlineStr">
        <is>
          <t>Intelligent Audit: subscription pricing; Catalyst 90-day trial</t>
        </is>
      </c>
      <c r="C15" t="inlineStr">
        <is>
          <t>Intelligent Audit FAQ</t>
        </is>
      </c>
      <c r="D15" t="inlineStr">
        <is>
          <t>https://www.intelligentaudit.com/faq</t>
        </is>
      </c>
      <c r="E15" t="inlineStr">
        <is>
          <t>live page</t>
        </is>
      </c>
      <c r="F15" t="inlineStr">
        <is>
          <t>2026-10-22</t>
        </is>
      </c>
      <c r="G15" t="inlineStr">
        <is>
          <t>VERIFIED primary</t>
        </is>
      </c>
    </row>
    <row r="16">
      <c r="A16" t="inlineStr">
        <is>
          <t>(docs only)</t>
        </is>
      </c>
      <c r="B16" t="inlineStr">
        <is>
          <t>US logistics costs 2025 $2.40T (7.8% of GDP); trucking 36.8% of logistics spend</t>
        </is>
      </c>
      <c r="C16" t="inlineStr">
        <is>
          <t>CSCMP/Kearney State of Logistics 2026, via SCDigest</t>
        </is>
      </c>
      <c r="D16" t="inlineStr">
        <is>
          <t>https://www.scdigest.com/firstthoughts/26-06-26.php?cid=23144</t>
        </is>
      </c>
      <c r="E16" t="inlineStr">
        <is>
          <t>2026-06-26</t>
        </is>
      </c>
      <c r="F16" t="inlineStr">
        <is>
          <t>2026-10-22</t>
        </is>
      </c>
      <c r="G16" t="inlineStr">
        <is>
          <t>VERIFIED secondary</t>
        </is>
      </c>
    </row>
    <row r="17">
      <c r="A17" t="inlineStr">
        <is>
          <t>(docs only)</t>
        </is>
      </c>
      <c r="B17" t="inlineStr">
        <is>
          <t>Shipper must contest a bill within 180 days of receipt</t>
        </is>
      </c>
      <c r="C17" t="inlineStr">
        <is>
          <t>49 U.S.C. 13710(a)(3)(B)</t>
        </is>
      </c>
      <c r="D17" t="inlineStr">
        <is>
          <t>https://www.law.cornell.edu/uscode/text/49/13710</t>
        </is>
      </c>
      <c r="E17" t="inlineStr">
        <is>
          <t>current</t>
        </is>
      </c>
      <c r="F17" t="inlineStr">
        <is>
          <t>2026-10-22</t>
        </is>
      </c>
      <c r="G17" t="inlineStr">
        <is>
          <t>VERIFIED primary</t>
        </is>
      </c>
    </row>
    <row r="18">
      <c r="A18" t="inlineStr">
        <is>
          <t>(docs only)</t>
        </is>
      </c>
      <c r="B18" t="inlineStr">
        <is>
          <t>Carrier charges and overcharge actions: 18 months</t>
        </is>
      </c>
      <c r="C18" t="inlineStr">
        <is>
          <t>49 U.S.C. 14705(a)-(b)</t>
        </is>
      </c>
      <c r="D18" t="inlineStr">
        <is>
          <t>https://www.law.cornell.edu/uscode/text/49/14705</t>
        </is>
      </c>
      <c r="E18" t="inlineStr">
        <is>
          <t>current</t>
        </is>
      </c>
      <c r="F18" t="inlineStr">
        <is>
          <t>2026-10-22</t>
        </is>
      </c>
      <c r="G18" t="inlineStr">
        <is>
          <t>VERIFIED primary</t>
        </is>
      </c>
    </row>
    <row r="19">
      <c r="A19" t="inlineStr">
        <is>
          <t>Assumptions!K21:K28</t>
        </is>
      </c>
      <c r="B19" t="inlineStr">
        <is>
          <t>SSB and BLS wage bases</t>
        </is>
      </c>
      <c r="C19" t="inlineStr">
        <is>
          <t>SSB; BLS Occupational Outlook</t>
        </is>
      </c>
      <c r="D19" t="inlineStr">
        <is>
          <t>https://www.ssb.no/arbeid-og-lonn/lonn-og-arbeidskraftkostnader/statistikk/lonn</t>
        </is>
      </c>
      <c r="E19" t="inlineStr">
        <is>
          <t>various</t>
        </is>
      </c>
      <c r="F19" t="inlineStr">
        <is>
          <t>2026-10-22</t>
        </is>
      </c>
      <c r="G19" t="inlineStr">
        <is>
          <t>NOT re-verified this pass; loaded costs remain assumptions (C)</t>
        </is>
      </c>
    </row>
    <row r="20">
      <c r="A20" t="inlineStr">
        <is>
          <t>Assumptions!K33</t>
        </is>
      </c>
      <c r="B20" t="inlineStr">
        <is>
          <t>SOC 2 Type II $50-110K; pen test $15-35K</t>
        </is>
      </c>
      <c r="C20" t="inlineStr">
        <is>
          <t>vendor ranges</t>
        </is>
      </c>
      <c r="D20" t="inlineStr">
        <is>
          <t>-</t>
        </is>
      </c>
      <c r="E20" t="inlineStr">
        <is>
          <t>-</t>
        </is>
      </c>
      <c r="F20" t="inlineStr">
        <is>
          <t>2026-10-22</t>
        </is>
      </c>
      <c r="G20" t="inlineStr">
        <is>
          <t>NOT verified; assumption (C)</t>
        </is>
      </c>
    </row>
    <row r="21">
      <c r="A21" t="inlineStr">
        <is>
          <t>Competitors!C6, C10, C11, C13, C14</t>
        </is>
      </c>
      <c r="B21" t="inlineStr">
        <is>
          <t>Trax, Terminal49, Vizion, Freightos, Transporeon</t>
        </is>
      </c>
      <c r="C21" t="inlineStr">
        <is>
          <t>various</t>
        </is>
      </c>
      <c r="D21" t="inlineStr">
        <is>
          <t>-</t>
        </is>
      </c>
      <c r="E21" t="inlineStr">
        <is>
          <t>-</t>
        </is>
      </c>
      <c r="F21" t="inlineStr">
        <is>
          <t>2026-10-22</t>
        </is>
      </c>
      <c r="G21" t="inlineStr">
        <is>
          <t>NOT re-verified this pass; existing grades 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2026-10-12T00:50:29Z</dcterms:created>
  <dcterms:modified xsi:type="dcterms:W3CDTF">2026-10-22T17:43:53Z</dcterms:modified>
</cp:coreProperties>
</file>