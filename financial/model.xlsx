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ssumptions" sheetId="1" state="visible" r:id="rId1"/>
    <sheet name="Revenue" sheetId="2" state="visible" r:id="rId2"/>
    <sheet name="Headcount" sheetId="3" state="visible" r:id="rId3"/>
    <sheet name="OpEx" sheetId="4" state="visible" r:id="rId4"/>
    <sheet name="P&amp;L" sheetId="5" state="visible" r:id="rId5"/>
    <sheet name="Cash Flow" sheetId="6" state="visible" r:id="rId6"/>
    <sheet name="Balance Sheet" sheetId="7" state="visible" r:id="rId7"/>
    <sheet name="Unit Economics" sheetId="8" state="visible" r:id="rId8"/>
    <sheet name="Scenarios" sheetId="9" state="visible" r:id="rId9"/>
  </sheets>
  <definedNames/>
  <calcPr calcId="124519" fullCalcOnLoad="1"/>
</workbook>
</file>

<file path=xl/styles.xml><?xml version="1.0" encoding="utf-8"?>
<styleSheet xmlns="http://schemas.openxmlformats.org/spreadsheetml/2006/main">
  <numFmts count="5">
    <numFmt numFmtId="164" formatCode="0.0%"/>
    <numFmt numFmtId="165" formatCode="0.0000"/>
    <numFmt numFmtId="166" formatCode="#,##0;[Red]-#,##0"/>
    <numFmt numFmtId="167" formatCode="#,##0.0;[Red]-#,##0.0"/>
    <numFmt numFmtId="168" formatCode="0.00&quot;x&quot;"/>
  </numFmts>
  <fonts count="6">
    <font>
      <name val="Calibri"/>
      <family val="2"/>
      <color theme="1"/>
      <sz val="11"/>
      <scheme val="minor"/>
    </font>
    <font>
      <b val="1"/>
      <sz val="13"/>
    </font>
    <font>
      <b val="1"/>
      <color rgb="00FFFFFF"/>
    </font>
    <font>
      <b val="1"/>
    </font>
    <font/>
    <font>
      <color rgb="000000CC"/>
    </font>
  </fonts>
  <fills count="4">
    <fill>
      <patternFill/>
    </fill>
    <fill>
      <patternFill patternType="gray125"/>
    </fill>
    <fill>
      <patternFill patternType="solid">
        <fgColor rgb="001F3A5F"/>
      </patternFill>
    </fill>
    <fill>
      <patternFill patternType="solid">
        <fgColor rgb="00DDE6F0"/>
      </patternFill>
    </fill>
  </fills>
  <borders count="1">
    <border>
      <left/>
      <right/>
      <top/>
      <bottom/>
      <diagonal/>
    </border>
  </borders>
  <cellStyleXfs count="1">
    <xf numFmtId="0" fontId="0" fillId="0" borderId="0"/>
  </cellStyleXfs>
  <cellXfs count="20">
    <xf numFmtId="0" fontId="0" fillId="0" borderId="0" pivotButton="0" quotePrefix="0" xfId="0"/>
    <xf numFmtId="0" fontId="1" fillId="0" borderId="0" pivotButton="0" quotePrefix="0" xfId="0"/>
    <xf numFmtId="0" fontId="2" fillId="2" borderId="0" pivotButton="0" quotePrefix="0" xfId="0"/>
    <xf numFmtId="0" fontId="3" fillId="3" borderId="0" pivotButton="0" quotePrefix="0" xfId="0"/>
    <xf numFmtId="0" fontId="0" fillId="3" borderId="0" pivotButton="0" quotePrefix="0" xfId="0"/>
    <xf numFmtId="0" fontId="4" fillId="0" borderId="0" pivotButton="0" quotePrefix="0" xfId="0"/>
    <xf numFmtId="1" fontId="5" fillId="0" borderId="0" pivotButton="0" quotePrefix="0" xfId="0"/>
    <xf numFmtId="164" fontId="5" fillId="0" borderId="0" pivotButton="0" quotePrefix="0" xfId="0"/>
    <xf numFmtId="165" fontId="5" fillId="0" borderId="0" pivotButton="0" quotePrefix="0" xfId="0"/>
    <xf numFmtId="2" fontId="5" fillId="0" borderId="0" pivotButton="0" quotePrefix="0" xfId="0"/>
    <xf numFmtId="166" fontId="5" fillId="0" borderId="0" pivotButton="0" quotePrefix="0" xfId="0"/>
    <xf numFmtId="167" fontId="5" fillId="0" borderId="0" pivotButton="0" quotePrefix="0" xfId="0"/>
    <xf numFmtId="164" fontId="0" fillId="0" borderId="0" pivotButton="0" quotePrefix="0" xfId="0"/>
    <xf numFmtId="2" fontId="0" fillId="0" borderId="0" pivotButton="0" quotePrefix="0" xfId="0"/>
    <xf numFmtId="1" fontId="0" fillId="0" borderId="0" pivotButton="0" quotePrefix="0" xfId="0"/>
    <xf numFmtId="3" fontId="5" fillId="0" borderId="0" pivotButton="0" quotePrefix="0" xfId="0"/>
    <xf numFmtId="167" fontId="0" fillId="0" borderId="0" pivotButton="0" quotePrefix="0" xfId="0"/>
    <xf numFmtId="0" fontId="3" fillId="0" borderId="0" pivotButton="0" quotePrefix="0" xfId="0"/>
    <xf numFmtId="166" fontId="0" fillId="0" borderId="0" pivotButton="0" quotePrefix="0" xfId="0"/>
    <xf numFmtId="168"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00CC"/>
    <outlinePr summaryBelow="1" summaryRight="1"/>
    <pageSetUpPr/>
  </sheetPr>
  <dimension ref="A1:J10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2" customWidth="1" min="1" max="1"/>
    <col width="11" customWidth="1" min="2" max="2"/>
    <col width="11" customWidth="1" min="3" max="3"/>
    <col width="11" customWidth="1" min="4" max="4"/>
    <col width="11" customWidth="1" min="5" max="5"/>
    <col width="11" customWidth="1" min="6" max="6"/>
    <col width="11" customWidth="1" min="7" max="7"/>
    <col width="11" customWidth="1" min="8" max="8"/>
    <col width="17" customWidth="1" min="9" max="9"/>
    <col width="120" customWidth="1" min="10" max="10"/>
  </cols>
  <sheetData>
    <row r="1">
      <c r="A1" s="1" t="inlineStr">
        <is>
          <t>scoup.ai financial model: Assumptions (all inputs; blue = editable input)</t>
        </is>
      </c>
    </row>
    <row r="2">
      <c r="A2" t="inlineStr">
        <is>
          <t>Pre-product, pre-revenue, no customers, synthetic data only. Every figure is a plan input or its arithmetic consequence, not a forecast. $K unless stated. Year 1 = first 12 months after seed close.</t>
        </is>
      </c>
    </row>
    <row r="3">
      <c r="A3" s="2" t="inlineStr">
        <is>
          <t>Input</t>
        </is>
      </c>
      <c r="B3" s="2" t="inlineStr">
        <is>
          <t>Value / Y1</t>
        </is>
      </c>
      <c r="C3" s="2" t="inlineStr">
        <is>
          <t>Y2 / Bull</t>
        </is>
      </c>
      <c r="D3" s="2" t="inlineStr">
        <is>
          <t>Y3 / Bear</t>
        </is>
      </c>
      <c r="E3" s="2" t="inlineStr">
        <is>
          <t>Y4 / Live</t>
        </is>
      </c>
      <c r="F3" s="2" t="inlineStr">
        <is>
          <t>Y5</t>
        </is>
      </c>
      <c r="G3" s="2" t="inlineStr">
        <is>
          <t>Y6</t>
        </is>
      </c>
      <c r="H3" s="2" t="inlineStr">
        <is>
          <t>Y7</t>
        </is>
      </c>
      <c r="I3" s="2" t="inlineStr">
        <is>
          <t>Status</t>
        </is>
      </c>
      <c r="J3" s="2" t="inlineStr">
        <is>
          <t>Source / reasoning</t>
        </is>
      </c>
    </row>
    <row r="4">
      <c r="A4" s="3" t="inlineStr">
        <is>
          <t>Scenario control</t>
        </is>
      </c>
      <c r="B4" s="4" t="n"/>
      <c r="C4" s="4" t="n"/>
      <c r="D4" s="4" t="n"/>
      <c r="E4" s="4" t="n"/>
      <c r="F4" s="4" t="n"/>
      <c r="G4" s="4" t="n"/>
      <c r="H4" s="4" t="n"/>
      <c r="I4" s="4" t="n"/>
      <c r="J4" s="4" t="n"/>
    </row>
    <row r="5">
      <c r="A5" s="5" t="inlineStr">
        <is>
          <t>Active scenario (1 = Base, 2 = Bull, 3 = Bear)</t>
        </is>
      </c>
      <c r="B5" s="6" t="n">
        <v>1</v>
      </c>
      <c r="I5" t="inlineStr">
        <is>
          <t>CONTROL</t>
        </is>
      </c>
      <c r="J5" t="inlineStr">
        <is>
          <t>Drives every main tab. The Scenarios tab computes all three side by side regardless.</t>
        </is>
      </c>
    </row>
    <row r="6">
      <c r="A6" s="5" t="inlineStr">
        <is>
          <t>Year index</t>
        </is>
      </c>
      <c r="B6" s="6" t="n">
        <v>1</v>
      </c>
      <c r="C6" s="6" t="n">
        <v>2</v>
      </c>
      <c r="D6" s="6" t="n">
        <v>3</v>
      </c>
      <c r="E6" s="6" t="n">
        <v>4</v>
      </c>
      <c r="F6" s="6" t="n">
        <v>5</v>
      </c>
      <c r="G6" s="6" t="n">
        <v>6</v>
      </c>
      <c r="H6" s="6" t="n">
        <v>7</v>
      </c>
      <c r="I6" t="inlineStr">
        <is>
          <t>STRUCTURAL</t>
        </is>
      </c>
      <c r="J6" t="inlineStr">
        <is>
          <t>Used by formulas that depend on the year number.</t>
        </is>
      </c>
    </row>
    <row r="7">
      <c r="A7" s="3" t="inlineStr">
        <is>
          <t>Global inputs (same in every scenario)</t>
        </is>
      </c>
      <c r="B7" s="4" t="n"/>
      <c r="C7" s="4" t="n"/>
      <c r="D7" s="4" t="n"/>
      <c r="E7" s="4" t="n"/>
      <c r="F7" s="4" t="n"/>
      <c r="G7" s="4" t="n"/>
      <c r="H7" s="4" t="n"/>
      <c r="I7" s="4" t="n"/>
      <c r="J7" s="4" t="n"/>
    </row>
    <row r="8">
      <c r="A8" s="5" t="inlineStr">
        <is>
          <t>Compensation inflation per year</t>
        </is>
      </c>
      <c r="B8" s="7" t="n">
        <v>0.04</v>
      </c>
      <c r="I8" t="inlineStr">
        <is>
          <t>ASSUMED</t>
        </is>
      </c>
      <c r="J8" t="inlineStr">
        <is>
          <t>Planning assumption carried from the investor-pack workbook (grade C).</t>
        </is>
      </c>
    </row>
    <row r="9">
      <c r="A9" s="5" t="inlineStr">
        <is>
          <t>NOK per USD</t>
        </is>
      </c>
      <c r="B9" s="8" t="n">
        <v>9.3817</v>
      </c>
      <c r="I9" t="inlineStr">
        <is>
          <t>SOURCED</t>
        </is>
      </c>
      <c r="J9" t="inlineStr">
        <is>
          <t>Norges Bank, USD/NOK monthly average Sep 2026 = 9.3817, https://data.norges-bank.no/api/data/EXR/M.USD.NOK.SP, accessed 2026-10-17. Replaces 10.5 in the prior workbook.</t>
        </is>
      </c>
    </row>
    <row r="10">
      <c r="A10" s="5" t="inlineStr">
        <is>
          <t>Norway loading on gross salary (employer tax + pension + other)</t>
        </is>
      </c>
      <c r="B10" s="9" t="n">
        <v>1.22</v>
      </c>
      <c r="I10" t="inlineStr">
        <is>
          <t>ASSUMED</t>
        </is>
      </c>
      <c r="J10" t="inlineStr">
        <is>
          <t>Employer tax zone I 14.1% is SOURCED (Skatteetaten, https://www.skatteetaten.no/satser/arbeidsgiveravgift/, accessed 2026-10-17); the remaining ~8 points (mandatory pension, insurance) are assumed.</t>
        </is>
      </c>
    </row>
    <row r="11">
      <c r="A11" s="5" t="inlineStr">
        <is>
          <t>US benefits share of total compensation</t>
        </is>
      </c>
      <c r="B11" s="7" t="n">
        <v>0.3</v>
      </c>
      <c r="I11" t="inlineStr">
        <is>
          <t>SOURCED</t>
        </is>
      </c>
      <c r="J11" t="inlineStr">
        <is>
          <t>BLS Employer Costs for Employee Compensation, June 2026: benefits 30.0% of private-industry compensation, https://www.bls.gov/news.release/ecec.nr0.htm, accessed 2026-10-17. Loaded cost = wage / (1 - 0.30).</t>
        </is>
      </c>
    </row>
    <row r="12">
      <c r="A12" s="5" t="inlineStr">
        <is>
          <t>Norwegian corporate income tax rate</t>
        </is>
      </c>
      <c r="B12" s="7" t="n">
        <v>0.22</v>
      </c>
      <c r="I12" t="inlineStr">
        <is>
          <t>SOURCED</t>
        </is>
      </c>
      <c r="J12" t="inlineStr">
        <is>
          <t>22% (DLA Piper Global Expansion Tax, Norway, https://intelligence.dlapiper.com/global-expansion-tax/?c=NO, accessed 2026-10-17). Unlimited loss carry-forward assumed; confirm with counsel.</t>
        </is>
      </c>
    </row>
    <row r="13">
      <c r="A13" s="5" t="inlineStr">
        <is>
          <t>Days sales outstanding</t>
        </is>
      </c>
      <c r="B13" s="6" t="n">
        <v>60</v>
      </c>
      <c r="I13" t="inlineStr">
        <is>
          <t>ASSUMED</t>
        </is>
      </c>
      <c r="J13" t="inlineStr">
        <is>
          <t>Contingency fees are invoiced after the counterparty pays the customer; 60 days assumed. Unmeasured.</t>
        </is>
      </c>
    </row>
    <row r="14">
      <c r="A14" s="5" t="inlineStr">
        <is>
          <t>Days payable outstanding (non-payroll costs)</t>
        </is>
      </c>
      <c r="B14" s="6" t="n">
        <v>30</v>
      </c>
      <c r="I14" t="inlineStr">
        <is>
          <t>ASSUMED</t>
        </is>
      </c>
      <c r="J14" t="inlineStr">
        <is>
          <t>Standard 30-day vendor terms assumed.</t>
        </is>
      </c>
    </row>
    <row r="15">
      <c r="A15" s="5" t="inlineStr">
        <is>
          <t>Equipment capex per net new hire ($K)</t>
        </is>
      </c>
      <c r="B15" s="10" t="n">
        <v>3</v>
      </c>
      <c r="I15" t="inlineStr">
        <is>
          <t>ASSUMED</t>
        </is>
      </c>
      <c r="J15" t="inlineStr">
        <is>
          <t>Laptop and peripherals. Software development is expensed, not capitalised.</t>
        </is>
      </c>
    </row>
    <row r="16">
      <c r="A16" s="5" t="inlineStr">
        <is>
          <t>Depreciation life (years)</t>
        </is>
      </c>
      <c r="B16" s="6" t="n">
        <v>3</v>
      </c>
      <c r="I16" t="inlineStr">
        <is>
          <t>ASSUMED</t>
        </is>
      </c>
      <c r="J16" t="inlineStr">
        <is>
          <t>Straight line.</t>
        </is>
      </c>
    </row>
    <row r="17">
      <c r="A17" s="5" t="inlineStr">
        <is>
          <t>Interest earned on cash</t>
        </is>
      </c>
      <c r="B17" s="7" t="n">
        <v>0</v>
      </c>
      <c r="I17" t="inlineStr">
        <is>
          <t>ASSUMED</t>
        </is>
      </c>
      <c r="J17" t="inlineStr">
        <is>
          <t>Set to zero for conservatism.</t>
        </is>
      </c>
    </row>
    <row r="18">
      <c r="A18" s="5" t="inlineStr">
        <is>
          <t>Opening cash at seed close, before seed ($K)</t>
        </is>
      </c>
      <c r="B18" s="10" t="n">
        <v>0</v>
      </c>
      <c r="I18" t="inlineStr">
        <is>
          <t>ASSUMED</t>
        </is>
      </c>
      <c r="J18" t="inlineStr">
        <is>
          <t>UNKNOWN; owner to confirm founder-funded cash and share capital (NOK 30,000 minimum for an AS).</t>
        </is>
      </c>
    </row>
    <row r="19">
      <c r="A19" s="5" t="inlineStr">
        <is>
          <t>Series A ARR milestone ($K)</t>
        </is>
      </c>
      <c r="B19" s="10" t="n">
        <v>2500</v>
      </c>
      <c r="I19" t="inlineStr">
        <is>
          <t>ASSUMED</t>
        </is>
      </c>
      <c r="J19" t="inlineStr">
        <is>
          <t>Planning target. Reference: median ARR at Series A $2.8M in 2025 (Carta, ARR at Series A, https://carta.com/data/newsletter-arr-at-series-a/, figure confirmed via search result 2026-10-17; direct fetch returned HTTP 403).</t>
        </is>
      </c>
    </row>
    <row r="20">
      <c r="A20" s="5" t="inlineStr">
        <is>
          <t>Cash buffer on each round</t>
        </is>
      </c>
      <c r="B20" s="7" t="n">
        <v>0.2</v>
      </c>
      <c r="I20" t="inlineStr">
        <is>
          <t>ASSUMED</t>
        </is>
      </c>
      <c r="J20" t="inlineStr">
        <is>
          <t>Planning assumption carried from the investor-pack workbook.</t>
        </is>
      </c>
    </row>
    <row r="21">
      <c r="A21" s="5" t="inlineStr">
        <is>
          <t>Seed tranche 1 ($K)</t>
        </is>
      </c>
      <c r="B21" s="10" t="n">
        <v>4000</v>
      </c>
      <c r="I21" t="inlineStr">
        <is>
          <t>ASSUMED</t>
        </is>
      </c>
      <c r="J21" t="inlineStr">
        <is>
          <t>Plan decision; sized against the Cash Flow funding-need rows.</t>
        </is>
      </c>
    </row>
    <row r="22">
      <c r="A22" s="5" t="inlineStr">
        <is>
          <t>Seed tranche 1 year</t>
        </is>
      </c>
      <c r="B22" s="6" t="n">
        <v>1</v>
      </c>
      <c r="I22" t="inlineStr">
        <is>
          <t>ASSUMED</t>
        </is>
      </c>
      <c r="J22" t="inlineStr">
        <is>
          <t>At close.</t>
        </is>
      </c>
    </row>
    <row r="23">
      <c r="A23" s="5" t="inlineStr">
        <is>
          <t>Seed tranche 2 ($K)</t>
        </is>
      </c>
      <c r="B23" s="10" t="n">
        <v>3000</v>
      </c>
      <c r="I23" t="inlineStr">
        <is>
          <t>ASSUMED</t>
        </is>
      </c>
      <c r="J23" t="inlineStr">
        <is>
          <t>Released at milestone: 5 paying customers, recovery measured on real invoices, ARR above $0.5M.</t>
        </is>
      </c>
    </row>
    <row r="24">
      <c r="A24" s="5" t="inlineStr">
        <is>
          <t>Seed tranche 2 year</t>
        </is>
      </c>
      <c r="B24" s="6" t="n">
        <v>2</v>
      </c>
      <c r="I24" t="inlineStr">
        <is>
          <t>ASSUMED</t>
        </is>
      </c>
      <c r="J24" t="inlineStr">
        <is>
          <t>Base case passes $0.5M ARR in year 2.</t>
        </is>
      </c>
    </row>
    <row r="25">
      <c r="A25" s="5" t="inlineStr">
        <is>
          <t>Series A ($K)</t>
        </is>
      </c>
      <c r="B25" s="10" t="n">
        <v>8500</v>
      </c>
      <c r="I25" t="inlineStr">
        <is>
          <t>ASSUMED</t>
        </is>
      </c>
      <c r="J25" t="inlineStr">
        <is>
          <t>Plan decision, kept from the investor-pack plan; tested against all three scenarios.</t>
        </is>
      </c>
    </row>
    <row r="26">
      <c r="A26" s="5" t="inlineStr">
        <is>
          <t>Series A year</t>
        </is>
      </c>
      <c r="B26" s="6" t="n">
        <v>4</v>
      </c>
      <c r="I26" t="inlineStr">
        <is>
          <t>ASSUMED</t>
        </is>
      </c>
      <c r="J26" t="inlineStr">
        <is>
          <t>Base case crosses the ARR milestone early in year 4.</t>
        </is>
      </c>
    </row>
    <row r="27">
      <c r="A27" s="5" t="inlineStr">
        <is>
          <t>Seed pre-money valuation ($K)</t>
        </is>
      </c>
      <c r="B27" s="10" t="n">
        <v>18400</v>
      </c>
      <c r="I27" t="inlineStr">
        <is>
          <t>ASSUMED</t>
        </is>
      </c>
      <c r="J27" t="inlineStr">
        <is>
          <t>Orientation only: median US seed pre-money $18.4M in Q1 2026 (PitchBook via WaveUp, grade C, not re-verified). Terms are set with the lead investor.</t>
        </is>
      </c>
    </row>
    <row r="28">
      <c r="A28" s="5" t="inlineStr">
        <is>
          <t>Benchmark: S&amp;M spend per $1 of new ARR</t>
        </is>
      </c>
      <c r="B28" s="9" t="n">
        <v>2</v>
      </c>
      <c r="I28" t="inlineStr">
        <is>
          <t>SOURCED</t>
        </is>
      </c>
      <c r="J28" t="inlineStr">
        <is>
          <t>Benchmarkit 2025 SaaS Performance Metrics (2024 data), median New CAC Ratio $2.00, https://www.benchmarkit.ai/2025benchmarks, accessed 2026-10-17.</t>
        </is>
      </c>
    </row>
    <row r="29">
      <c r="A29" s="5" t="inlineStr">
        <is>
          <t>Benchmark: median gross revenue retention</t>
        </is>
      </c>
      <c r="B29" s="7" t="n">
        <v>0.88</v>
      </c>
      <c r="I29" t="inlineStr">
        <is>
          <t>SOURCED</t>
        </is>
      </c>
      <c r="J29" t="inlineStr">
        <is>
          <t>Benchmarkit 2025 report: GRR 88%, same URL, accessed 2026-10-17.</t>
        </is>
      </c>
    </row>
    <row r="30">
      <c r="A30" s="5" t="inlineStr">
        <is>
          <t>Benchmark: median net revenue retention</t>
        </is>
      </c>
      <c r="B30" s="7" t="n">
        <v>1.01</v>
      </c>
      <c r="I30" t="inlineStr">
        <is>
          <t>SOURCED</t>
        </is>
      </c>
      <c r="J30" t="inlineStr">
        <is>
          <t>Benchmarkit 2025 report: NRR 101%, same URL, accessed 2026-10-17.</t>
        </is>
      </c>
    </row>
    <row r="31">
      <c r="A31" s="5" t="inlineStr">
        <is>
          <t>SAM: addressable shipper + importer accounts (count)</t>
        </is>
      </c>
      <c r="B31" s="10" t="n">
        <v>32765</v>
      </c>
      <c r="I31" t="inlineStr">
        <is>
          <t>SOURCED</t>
        </is>
      </c>
      <c r="J31" t="inlineStr">
        <is>
          <t>market-researcher research/05-market-size.md v3 (2026-10-17): 19,932 mid-market shippers (Census SUSB 2022 firms with $100M-$999.9M receipts in manufacturing, wholesale and retail, i.e. $5M-$50M freight spend at 4.68% transport-to-sales, Establish via DC Velocity 2008, grade B) + SME importers capped at 12,833 (FMC D&amp;D pool $3.08B / $240K exposure). TAM adds carriers 72,053 and brokers 28,438 = 133,256 accounts.</t>
        </is>
      </c>
    </row>
    <row r="32">
      <c r="A32" s="5" t="inlineStr">
        <is>
          <t>SAM: annual revenue pool, shipper + importer accounts ($K)</t>
        </is>
      </c>
      <c r="B32" s="10" t="n">
        <v>945400</v>
      </c>
      <c r="I32" t="inlineStr">
        <is>
          <t>SOURCED</t>
        </is>
      </c>
      <c r="J32" t="inlineStr">
        <is>
          <t>market-researcher research/05-market-size.md v3: final figure at our year-7 segment rates: shippers 19,932 x $27.6K = $550.1M + importers 12,833 x $30.8K = $395.3M = $945.4M; range $0.61B-$1.01B because the shipper/importer overlap is unknown. TAM $1,855.5M (133,256 accounts: SAM + 72,053 carriers x $7,895 + 28,438 brokers x $12K, broker rate assumed). Replaces the flat-rate $1,009.2M SAM / $4.10B TAM. Supersedes the withdrawn v2 figures ($474.2M SAM, $10.30B TAM, $8.99B SAM).</t>
        </is>
      </c>
    </row>
    <row r="33">
      <c r="A33" s="5" t="inlineStr">
        <is>
          <t>Pessimistic CAC: paid-media cost per small-company customer ($K)</t>
        </is>
      </c>
      <c r="B33" s="11" t="n">
        <v>31</v>
      </c>
      <c r="I33" t="inlineStr">
        <is>
          <t>SOURCED</t>
        </is>
      </c>
      <c r="J33" t="inlineStr">
        <is>
          <t>Metadata.io, 2026 B2B Paid Media Benchmark Report (2025 data, 153 advertisers): small-company customer cost $31k, https://metadata.io/md/benchmark-report-2026.md, accessed 2026-10-17. Media cost only; excludes sales labour. LinkedIn cost per customer $58,572 (same source, reported by digital-marketing, not re-verified by finance).</t>
        </is>
      </c>
    </row>
    <row r="34">
      <c r="A34" s="3" t="inlineStr">
        <is>
          <t>Revenue per account build, base path ($K per account per year)</t>
        </is>
      </c>
      <c r="B34" s="3" t="inlineStr">
        <is>
          <t>Y1</t>
        </is>
      </c>
      <c r="C34" s="3" t="inlineStr">
        <is>
          <t>Y2</t>
        </is>
      </c>
      <c r="D34" s="3" t="inlineStr">
        <is>
          <t>Y3</t>
        </is>
      </c>
      <c r="E34" s="3" t="inlineStr">
        <is>
          <t>Y4</t>
        </is>
      </c>
      <c r="F34" s="3" t="inlineStr">
        <is>
          <t>Y5</t>
        </is>
      </c>
      <c r="G34" s="3" t="inlineStr">
        <is>
          <t>Y6</t>
        </is>
      </c>
      <c r="H34" s="3" t="inlineStr">
        <is>
          <t>Y7</t>
        </is>
      </c>
      <c r="I34" s="4" t="n"/>
      <c r="J34" s="4" t="n"/>
    </row>
    <row r="35">
      <c r="A35" s="5" t="inlineStr">
        <is>
          <t>Platform fee</t>
        </is>
      </c>
      <c r="B35" s="11" t="n">
        <v>0</v>
      </c>
      <c r="C35" s="11" t="n">
        <v>6</v>
      </c>
      <c r="D35" s="11" t="n">
        <v>10</v>
      </c>
      <c r="E35" s="11" t="n">
        <v>13</v>
      </c>
      <c r="F35" s="11" t="n">
        <v>15</v>
      </c>
      <c r="G35" s="11" t="n">
        <v>16</v>
      </c>
      <c r="H35" s="11" t="n">
        <v>17</v>
      </c>
      <c r="I35" t="inlineStr">
        <is>
          <t>ASSUMED</t>
        </is>
      </c>
      <c r="J35" t="inlineStr">
        <is>
          <t>Investor-pack workbook (grade C). Hybrid fee starts in year 2. No competitor publishes pricing (market-researcher research/01-competitors.md, 2026-10-17), so there is no market check.</t>
        </is>
      </c>
    </row>
    <row r="36">
      <c r="A36" s="5" t="inlineStr">
        <is>
          <t>Amount recovered for the customer</t>
        </is>
      </c>
      <c r="B36" s="11" t="n">
        <v>52</v>
      </c>
      <c r="C36" s="11" t="n">
        <v>70</v>
      </c>
      <c r="D36" s="11" t="n">
        <v>85</v>
      </c>
      <c r="E36" s="11" t="n">
        <v>95</v>
      </c>
      <c r="F36" s="11" t="n">
        <v>105</v>
      </c>
      <c r="G36" s="11" t="n">
        <v>110</v>
      </c>
      <c r="H36" s="11" t="n">
        <v>115</v>
      </c>
      <c r="I36" t="inlineStr">
        <is>
          <t>ASSUMED</t>
        </is>
      </c>
      <c r="J36" t="inlineStr">
        <is>
          <t>Year 1 $52K = business-case base for a mid-size importer-shipper (D&amp;D $36K + fuel surcharge $16K), built on FMC and EIA/ATRI figures; grows as modules are added. Not measured on any customer data.</t>
        </is>
      </c>
    </row>
    <row r="37">
      <c r="A37" s="5" t="inlineStr">
        <is>
          <t>Recovery share (contingency %)</t>
        </is>
      </c>
      <c r="B37" s="7" t="n">
        <v>0.25</v>
      </c>
      <c r="C37" s="7" t="n">
        <v>0.17</v>
      </c>
      <c r="D37" s="7" t="n">
        <v>0.14</v>
      </c>
      <c r="E37" s="7" t="n">
        <v>0.12</v>
      </c>
      <c r="F37" s="7" t="n">
        <v>0.12</v>
      </c>
      <c r="G37" s="7" t="n">
        <v>0.12</v>
      </c>
      <c r="H37" s="7" t="n">
        <v>0.12</v>
      </c>
      <c r="I37" t="inlineStr">
        <is>
          <t>ASSUMED</t>
        </is>
      </c>
      <c r="J37" t="inlineStr">
        <is>
          <t>25% pilot contingency, falling once the platform fee starts. No freight competitor publishes a contingency rate (market-researcher research/01-competitors.md, 2026-10-17). Only public reference: Refund Retriever (parcel audit) 40-50%, https://www.refundretriever.com/pricing, accessed 2026-10-17.</t>
        </is>
      </c>
    </row>
    <row r="38">
      <c r="A38" s="3" t="inlineStr">
        <is>
          <t>Segments: shippers and SME importers are the core; carriers are a later, partner-led segment</t>
        </is>
      </c>
      <c r="B38" s="4" t="n"/>
      <c r="C38" s="4" t="n"/>
      <c r="D38" s="4" t="n"/>
      <c r="E38" s="4" t="n"/>
      <c r="F38" s="4" t="n"/>
      <c r="G38" s="4" t="n"/>
      <c r="H38" s="4" t="n"/>
      <c r="I38" s="4" t="n"/>
      <c r="J38" s="4" t="n"/>
    </row>
    <row r="39">
      <c r="A39" s="5" t="inlineStr">
        <is>
          <t>Shipper share of new shipper + importer accounts</t>
        </is>
      </c>
      <c r="B39" s="7" t="n">
        <v>0.5</v>
      </c>
      <c r="I39" t="inlineStr">
        <is>
          <t>ASSUMED</t>
        </is>
      </c>
      <c r="J39" t="inlineStr">
        <is>
          <t>Owner decision 2026-10-17: shipper- and importer-first. 50/50 split assumed; SME importers are counted (234,023, US Census) but mid-market shippers are not yet.</t>
        </is>
      </c>
    </row>
    <row r="40">
      <c r="A40" s="5" t="inlineStr">
        <is>
          <t>Shipper amount recovered vs importer path</t>
        </is>
      </c>
      <c r="B40" s="9" t="n">
        <v>0.77</v>
      </c>
      <c r="I40" t="inlineStr">
        <is>
          <t>ASSUMED</t>
        </is>
      </c>
      <c r="J40" t="inlineStr">
        <is>
          <t>A domestic mid-market shipper has no ocean D&amp;D. Business-case year-1 example: fuel-surcharge recovery $16K (business case, EIA-based) + accessorial and detention invoice audit $24K (assumed) = $40K vs $52K for an importer = 0.77.</t>
        </is>
      </c>
    </row>
    <row r="41">
      <c r="A41" s="5" t="inlineStr">
        <is>
          <t>Carrier: amount recovered per carrier ($K/yr)</t>
        </is>
      </c>
      <c r="B41" s="11" t="n">
        <v>39.475</v>
      </c>
      <c r="C41" s="11" t="n">
        <v>39.475</v>
      </c>
      <c r="D41" s="11" t="n">
        <v>39.475</v>
      </c>
      <c r="E41" s="11" t="n">
        <v>39.475</v>
      </c>
      <c r="F41" s="11" t="n">
        <v>39.475</v>
      </c>
      <c r="G41" s="11" t="n">
        <v>39.475</v>
      </c>
      <c r="H41" s="11" t="n">
        <v>39.475</v>
      </c>
      <c r="I41" t="inlineStr">
        <is>
          <t>ASSUMED</t>
        </is>
      </c>
      <c r="J41" t="inlineStr">
        <is>
          <t>market-researcher research/02 and 05 (2026-10-17): $471.60 fee per power unit x 16.7 units = $7,895 per carrier at a 20% fee, so recovered = $7,895 / 20% = $39.5K. Built on assumed inputs (400 stops per truck, $100 per detained stop, 30% winnable); ATRI 39.3% detention rate sourced.</t>
        </is>
      </c>
    </row>
    <row r="42">
      <c r="A42" s="5" t="inlineStr">
        <is>
          <t>Carrier: contingency share (no platform fee)</t>
        </is>
      </c>
      <c r="B42" s="7" t="n">
        <v>0.2</v>
      </c>
      <c r="I42" t="inlineStr">
        <is>
          <t>ASSUMED</t>
        </is>
      </c>
      <c r="J42" t="inlineStr">
        <is>
          <t>Fee used in the research carrier model and in gtm.md.</t>
        </is>
      </c>
    </row>
    <row r="43">
      <c r="A43" s="5" t="inlineStr">
        <is>
          <t>Partner commission on carrier revenue (factoring / ELD channel)</t>
        </is>
      </c>
      <c r="B43" s="7" t="n">
        <v>0.2</v>
      </c>
      <c r="I43" t="inlineStr">
        <is>
          <t>ASSUMED</t>
        </is>
      </c>
      <c r="J43" t="inlineStr">
        <is>
          <t>Carriers come through a channel partner, not direct sales; commission booked in the Sales department.</t>
        </is>
      </c>
    </row>
    <row r="44">
      <c r="A44" s="3" t="inlineStr">
        <is>
          <t>Scenario inputs (scalars)</t>
        </is>
      </c>
      <c r="B44" s="3" t="inlineStr">
        <is>
          <t>Base</t>
        </is>
      </c>
      <c r="C44" s="3" t="inlineStr">
        <is>
          <t>Bull</t>
        </is>
      </c>
      <c r="D44" s="3" t="inlineStr">
        <is>
          <t>Bear</t>
        </is>
      </c>
      <c r="E44" s="3" t="inlineStr">
        <is>
          <t>Live</t>
        </is>
      </c>
      <c r="F44" s="4" t="n"/>
      <c r="G44" s="4" t="n"/>
      <c r="H44" s="4" t="n"/>
      <c r="I44" s="4" t="n"/>
      <c r="J44" s="4" t="n"/>
    </row>
    <row r="45">
      <c r="A45" s="5" t="inlineStr">
        <is>
          <t>Annual logo churn</t>
        </is>
      </c>
      <c r="B45" s="7" t="n">
        <v>0.2</v>
      </c>
      <c r="C45" s="7" t="n">
        <v>0.15</v>
      </c>
      <c r="D45" s="7" t="n">
        <v>0.3</v>
      </c>
      <c r="E45" s="12">
        <f>CHOOSE($B$5,B45,C45,D45)</f>
        <v/>
      </c>
      <c r="I45" t="inlineStr">
        <is>
          <t>ASSUMED</t>
        </is>
      </c>
      <c r="J45" t="inlineStr">
        <is>
          <t>Share of start-of-year accounts lost in the year. Benchmarkit median GRR 88% implies ~12% revenue churn for SaaS; a contingency service is easy to switch off, so 20% base.</t>
        </is>
      </c>
    </row>
    <row r="46">
      <c r="A46" s="5" t="inlineStr">
        <is>
          <t>Revenue per account vs base path</t>
        </is>
      </c>
      <c r="B46" s="9" t="n">
        <v>1</v>
      </c>
      <c r="C46" s="9" t="n">
        <v>1.15</v>
      </c>
      <c r="D46" s="9" t="n">
        <v>0.8</v>
      </c>
      <c r="E46" s="13">
        <f>CHOOSE($B$5,B46,C46,D46)</f>
        <v/>
      </c>
      <c r="I46" t="inlineStr">
        <is>
          <t>ASSUMED</t>
        </is>
      </c>
      <c r="J46" t="inlineStr">
        <is>
          <t>Bull: larger recoveries and early platform-fee adoption. Bear: recoveries 20% lower.</t>
        </is>
      </c>
    </row>
    <row r="47">
      <c r="A47" s="5" t="inlineStr">
        <is>
          <t>Headcount and spend scale vs base plan</t>
        </is>
      </c>
      <c r="B47" s="9" t="n">
        <v>1</v>
      </c>
      <c r="C47" s="9" t="n">
        <v>1.1</v>
      </c>
      <c r="D47" s="9" t="n">
        <v>0.85</v>
      </c>
      <c r="E47" s="13">
        <f>CHOOSE($B$5,B47,C47,D47)</f>
        <v/>
      </c>
      <c r="I47" t="inlineStr">
        <is>
          <t>ASSUMED</t>
        </is>
      </c>
      <c r="J47" t="inlineStr">
        <is>
          <t>Applied to every role except the founder, and to other operating costs from year 2.</t>
        </is>
      </c>
    </row>
    <row r="48">
      <c r="A48" s="5" t="inlineStr">
        <is>
          <t>Hold headcount and spend at prior-year level from year (0 = never)</t>
        </is>
      </c>
      <c r="B48" s="6" t="n">
        <v>0</v>
      </c>
      <c r="C48" s="6" t="n">
        <v>0</v>
      </c>
      <c r="D48" s="6" t="n">
        <v>3</v>
      </c>
      <c r="E48" s="14">
        <f>CHOOSE($B$5,B48,C48,D48)</f>
        <v/>
      </c>
      <c r="I48" t="inlineStr">
        <is>
          <t>ASSUMED</t>
        </is>
      </c>
      <c r="J48" t="inlineStr">
        <is>
          <t>Bear cost response: if the tranche-2 milestone is missed, hold at year-2 levels (investor-pack financial plan section 4 describes this but the workbook did not model it).</t>
        </is>
      </c>
    </row>
    <row r="49">
      <c r="A49" s="5" t="inlineStr">
        <is>
          <t>Number of years the hold lasts</t>
        </is>
      </c>
      <c r="B49" s="6" t="n">
        <v>0</v>
      </c>
      <c r="C49" s="6" t="n">
        <v>0</v>
      </c>
      <c r="D49" s="6" t="n">
        <v>2</v>
      </c>
      <c r="E49" s="14">
        <f>CHOOSE($B$5,B49,C49,D49)</f>
        <v/>
      </c>
      <c r="I49" t="inlineStr">
        <is>
          <t>ASSUMED</t>
        </is>
      </c>
      <c r="J49" t="inlineStr">
        <is>
          <t>Bear: years 3 and 4 held at year-2 levels, then the scaled plan resumes. A permanent hold would leave 2 claims analysts serving 235 accounts, which is not credible.</t>
        </is>
      </c>
    </row>
    <row r="50">
      <c r="A50" s="5" t="inlineStr">
        <is>
          <t>Variable cost of revenue (% of revenue)</t>
        </is>
      </c>
      <c r="B50" s="7" t="n">
        <v>0.08</v>
      </c>
      <c r="C50" s="7" t="n">
        <v>0.07000000000000001</v>
      </c>
      <c r="D50" s="7" t="n">
        <v>0.1</v>
      </c>
      <c r="E50" s="12">
        <f>CHOOSE($B$5,B50,C50,D50)</f>
        <v/>
      </c>
      <c r="I50" t="inlineStr">
        <is>
          <t>ASSUMED</t>
        </is>
      </c>
      <c r="J50" t="inlineStr">
        <is>
          <t>New input: LLM inference, OCR and per-container event data. Unmeasured; replaces the gross-margin-% input of the prior workbook.</t>
        </is>
      </c>
    </row>
    <row r="51">
      <c r="A51" s="3" t="inlineStr">
        <is>
          <t>Scenario inputs (by year): new shipper + importer accounts won, and carrier accounts</t>
        </is>
      </c>
      <c r="B51" s="3" t="inlineStr">
        <is>
          <t>Y1</t>
        </is>
      </c>
      <c r="C51" s="3" t="inlineStr">
        <is>
          <t>Y2</t>
        </is>
      </c>
      <c r="D51" s="3" t="inlineStr">
        <is>
          <t>Y3</t>
        </is>
      </c>
      <c r="E51" s="3" t="inlineStr">
        <is>
          <t>Y4</t>
        </is>
      </c>
      <c r="F51" s="3" t="inlineStr">
        <is>
          <t>Y5</t>
        </is>
      </c>
      <c r="G51" s="3" t="inlineStr">
        <is>
          <t>Y6</t>
        </is>
      </c>
      <c r="H51" s="3" t="inlineStr">
        <is>
          <t>Y7</t>
        </is>
      </c>
      <c r="I51" s="4" t="n"/>
      <c r="J51" s="4" t="n"/>
    </row>
    <row r="52">
      <c r="A52" s="5" t="inlineStr">
        <is>
          <t>New shipper + importer accounts won - Base</t>
        </is>
      </c>
      <c r="B52" s="6" t="n">
        <v>6</v>
      </c>
      <c r="C52" s="6" t="n">
        <v>30</v>
      </c>
      <c r="D52" s="6" t="n">
        <v>75</v>
      </c>
      <c r="E52" s="6" t="n">
        <v>120</v>
      </c>
      <c r="F52" s="6" t="n">
        <v>165</v>
      </c>
      <c r="G52" s="6" t="n">
        <v>200</v>
      </c>
      <c r="H52" s="6" t="n">
        <v>235</v>
      </c>
      <c r="I52" t="inlineStr">
        <is>
          <t>ASSUMED</t>
        </is>
      </c>
      <c r="J52" t="inlineStr">
        <is>
          <t>Plan input from the investor-pack workbook (grade C). No pipeline exists yet.</t>
        </is>
      </c>
    </row>
    <row r="53">
      <c r="A53" s="5" t="inlineStr">
        <is>
          <t>New shipper + importer accounts won - Bull</t>
        </is>
      </c>
      <c r="B53" s="6" t="n">
        <v>8</v>
      </c>
      <c r="C53" s="6" t="n">
        <v>40</v>
      </c>
      <c r="D53" s="6" t="n">
        <v>100</v>
      </c>
      <c r="E53" s="6" t="n">
        <v>160</v>
      </c>
      <c r="F53" s="6" t="n">
        <v>215</v>
      </c>
      <c r="G53" s="6" t="n">
        <v>260</v>
      </c>
      <c r="H53" s="6" t="n">
        <v>300</v>
      </c>
      <c r="I53" t="inlineStr">
        <is>
          <t>ASSUMED</t>
        </is>
      </c>
      <c r="J53" t="inlineStr">
        <is>
          <t>Plan input from the investor-pack workbook (grade C). No pipeline exists yet.</t>
        </is>
      </c>
    </row>
    <row r="54">
      <c r="A54" s="5" t="inlineStr">
        <is>
          <t>New shipper + importer accounts won - Bear</t>
        </is>
      </c>
      <c r="B54" s="6" t="n">
        <v>4</v>
      </c>
      <c r="C54" s="6" t="n">
        <v>16</v>
      </c>
      <c r="D54" s="6" t="n">
        <v>35</v>
      </c>
      <c r="E54" s="6" t="n">
        <v>55</v>
      </c>
      <c r="F54" s="6" t="n">
        <v>75</v>
      </c>
      <c r="G54" s="6" t="n">
        <v>90</v>
      </c>
      <c r="H54" s="6" t="n">
        <v>105</v>
      </c>
      <c r="I54" t="inlineStr">
        <is>
          <t>ASSUMED</t>
        </is>
      </c>
      <c r="J54" t="inlineStr">
        <is>
          <t>Plan input from the investor-pack workbook (grade C). No pipeline exists yet.</t>
        </is>
      </c>
    </row>
    <row r="55">
      <c r="A55" s="5" t="inlineStr">
        <is>
          <t>New accounts won - Live</t>
        </is>
      </c>
      <c r="B55" s="14">
        <f>CHOOSE($B$5,B52,B53,B54)</f>
        <v/>
      </c>
      <c r="C55" s="14">
        <f>CHOOSE($B$5,C52,C53,C54)</f>
        <v/>
      </c>
      <c r="D55" s="14">
        <f>CHOOSE($B$5,D52,D53,D54)</f>
        <v/>
      </c>
      <c r="E55" s="14">
        <f>CHOOSE($B$5,E52,E53,E54)</f>
        <v/>
      </c>
      <c r="F55" s="14">
        <f>CHOOSE($B$5,F52,F53,F54)</f>
        <v/>
      </c>
      <c r="G55" s="14">
        <f>CHOOSE($B$5,G52,G53,G54)</f>
        <v/>
      </c>
      <c r="H55" s="14">
        <f>CHOOSE($B$5,H52,H53,H54)</f>
        <v/>
      </c>
      <c r="I55" t="inlineStr">
        <is>
          <t>DERIVED</t>
        </is>
      </c>
    </row>
    <row r="56">
      <c r="A56" s="5" t="inlineStr">
        <is>
          <t>New carrier accounts via partner - Base</t>
        </is>
      </c>
      <c r="B56" s="6" t="n">
        <v>0</v>
      </c>
      <c r="C56" s="6" t="n">
        <v>0</v>
      </c>
      <c r="D56" s="6" t="n">
        <v>15</v>
      </c>
      <c r="E56" s="6" t="n">
        <v>30</v>
      </c>
      <c r="F56" s="6" t="n">
        <v>50</v>
      </c>
      <c r="G56" s="6" t="n">
        <v>70</v>
      </c>
      <c r="H56" s="6" t="n">
        <v>90</v>
      </c>
      <c r="I56" t="inlineStr">
        <is>
          <t>ASSUMED</t>
        </is>
      </c>
      <c r="J56" t="inlineStr">
        <is>
          <t>Small partner-led segment starting later (base: factoring partner from year 3; bull: partner signed in year 2; bear: partner slips to year 5).</t>
        </is>
      </c>
    </row>
    <row r="57">
      <c r="A57" s="5" t="inlineStr">
        <is>
          <t>New carrier accounts via partner - Bull</t>
        </is>
      </c>
      <c r="B57" s="6" t="n">
        <v>0</v>
      </c>
      <c r="C57" s="6" t="n">
        <v>10</v>
      </c>
      <c r="D57" s="6" t="n">
        <v>30</v>
      </c>
      <c r="E57" s="6" t="n">
        <v>60</v>
      </c>
      <c r="F57" s="6" t="n">
        <v>90</v>
      </c>
      <c r="G57" s="6" t="n">
        <v>120</v>
      </c>
      <c r="H57" s="6" t="n">
        <v>150</v>
      </c>
      <c r="I57" t="inlineStr">
        <is>
          <t>ASSUMED</t>
        </is>
      </c>
      <c r="J57" t="inlineStr">
        <is>
          <t>Small partner-led segment starting later (base: factoring partner from year 3; bull: partner signed in year 2; bear: partner slips to year 5).</t>
        </is>
      </c>
    </row>
    <row r="58">
      <c r="A58" s="5" t="inlineStr">
        <is>
          <t>New carrier accounts via partner - Bear</t>
        </is>
      </c>
      <c r="B58" s="6" t="n">
        <v>0</v>
      </c>
      <c r="C58" s="6" t="n">
        <v>0</v>
      </c>
      <c r="D58" s="6" t="n">
        <v>0</v>
      </c>
      <c r="E58" s="6" t="n">
        <v>0</v>
      </c>
      <c r="F58" s="6" t="n">
        <v>10</v>
      </c>
      <c r="G58" s="6" t="n">
        <v>20</v>
      </c>
      <c r="H58" s="6" t="n">
        <v>30</v>
      </c>
      <c r="I58" t="inlineStr">
        <is>
          <t>ASSUMED</t>
        </is>
      </c>
      <c r="J58" t="inlineStr">
        <is>
          <t>Small partner-led segment starting later (base: factoring partner from year 3; bull: partner signed in year 2; bear: partner slips to year 5).</t>
        </is>
      </c>
    </row>
    <row r="59">
      <c r="A59" s="5" t="inlineStr">
        <is>
          <t>New carrier accounts via partner - Live</t>
        </is>
      </c>
      <c r="B59" s="14">
        <f>CHOOSE($B$5,B56,B57,B58)</f>
        <v/>
      </c>
      <c r="C59" s="14">
        <f>CHOOSE($B$5,C56,C57,C58)</f>
        <v/>
      </c>
      <c r="D59" s="14">
        <f>CHOOSE($B$5,D56,D57,D58)</f>
        <v/>
      </c>
      <c r="E59" s="14">
        <f>CHOOSE($B$5,E56,E57,E58)</f>
        <v/>
      </c>
      <c r="F59" s="14">
        <f>CHOOSE($B$5,F56,F57,F58)</f>
        <v/>
      </c>
      <c r="G59" s="14">
        <f>CHOOSE($B$5,G56,G57,G58)</f>
        <v/>
      </c>
      <c r="H59" s="14">
        <f>CHOOSE($B$5,H56,H57,H58)</f>
        <v/>
      </c>
      <c r="I59" t="inlineStr">
        <is>
          <t>DERIVED</t>
        </is>
      </c>
    </row>
    <row r="60">
      <c r="A60" s="3" t="inlineStr">
        <is>
          <t>Headcount plan (people at year end, base scale) and pay</t>
        </is>
      </c>
      <c r="B60" s="3" t="inlineStr">
        <is>
          <t>Y1</t>
        </is>
      </c>
      <c r="C60" s="3" t="inlineStr">
        <is>
          <t>Y2</t>
        </is>
      </c>
      <c r="D60" s="3" t="inlineStr">
        <is>
          <t>Y3</t>
        </is>
      </c>
      <c r="E60" s="3" t="inlineStr">
        <is>
          <t>Y4</t>
        </is>
      </c>
      <c r="F60" s="3" t="inlineStr">
        <is>
          <t>Y5</t>
        </is>
      </c>
      <c r="G60" s="3" t="inlineStr">
        <is>
          <t>Y6</t>
        </is>
      </c>
      <c r="H60" s="3" t="inlineStr">
        <is>
          <t>Y7</t>
        </is>
      </c>
      <c r="I60" s="4" t="n"/>
      <c r="J60" s="4" t="n"/>
    </row>
    <row r="61">
      <c r="A61" s="5" t="inlineStr">
        <is>
          <t>Founder / CEO - headcount plan</t>
        </is>
      </c>
      <c r="B61" s="6" t="n">
        <v>1</v>
      </c>
      <c r="C61" s="6" t="n">
        <v>1</v>
      </c>
      <c r="D61" s="6" t="n">
        <v>1</v>
      </c>
      <c r="E61" s="6" t="n">
        <v>1</v>
      </c>
      <c r="F61" s="6" t="n">
        <v>1</v>
      </c>
      <c r="G61" s="6" t="n">
        <v>1</v>
      </c>
      <c r="H61" s="6" t="n">
        <v>1</v>
      </c>
      <c r="I61" t="inlineStr">
        <is>
          <t>ASSUMED</t>
        </is>
      </c>
      <c r="J61" t="inlineStr">
        <is>
          <t>Department: G&amp;A. Plan from the investor-pack workbook (grade C).</t>
        </is>
      </c>
    </row>
    <row r="62">
      <c r="A62" s="5" t="inlineStr">
        <is>
          <t>Founder / CEO - annual pay (NOK)</t>
        </is>
      </c>
      <c r="B62" s="15" t="n">
        <v>1200000</v>
      </c>
      <c r="I62" t="inlineStr">
        <is>
          <t>ASSUMED</t>
        </is>
      </c>
      <c r="J62" t="inlineStr">
        <is>
          <t>NOK pay held below market until Series A; equals the $140K loaded in the prior workbook at 10.5 NOK/USD.</t>
        </is>
      </c>
    </row>
    <row r="63">
      <c r="A63" s="5" t="inlineStr">
        <is>
          <t>Founder / CEO - year-1 start quarter (1-4)</t>
        </is>
      </c>
      <c r="B63" s="6" t="n">
        <v>1</v>
      </c>
      <c r="I63" t="inlineStr">
        <is>
          <t>ASSUMED</t>
        </is>
      </c>
      <c r="J63" t="inlineStr">
        <is>
          <t>Hiring quarter for year-1 hires; drives the year-1 quarterly budget.</t>
        </is>
      </c>
    </row>
    <row r="64">
      <c r="A64" s="5" t="inlineStr">
        <is>
          <t>Founder / CEO - loaded cost ($K/yr, year-1 prices)</t>
        </is>
      </c>
      <c r="B64" s="16">
        <f>B62*$B$10/$B$9/1000</f>
        <v/>
      </c>
      <c r="I64" t="inlineStr">
        <is>
          <t>DERIVED</t>
        </is>
      </c>
      <c r="J64" t="inlineStr">
        <is>
          <t>NO: pay x loading / FX. US: wage / (1 - benefits share).</t>
        </is>
      </c>
    </row>
    <row r="65">
      <c r="A65" s="5" t="inlineStr">
        <is>
          <t>Software engineers - headcount plan</t>
        </is>
      </c>
      <c r="B65" s="6" t="n">
        <v>2</v>
      </c>
      <c r="C65" s="6" t="n">
        <v>3</v>
      </c>
      <c r="D65" s="6" t="n">
        <v>5</v>
      </c>
      <c r="E65" s="6" t="n">
        <v>8</v>
      </c>
      <c r="F65" s="6" t="n">
        <v>10</v>
      </c>
      <c r="G65" s="6" t="n">
        <v>12</v>
      </c>
      <c r="H65" s="6" t="n">
        <v>13</v>
      </c>
      <c r="I65" t="inlineStr">
        <is>
          <t>ASSUMED</t>
        </is>
      </c>
      <c r="J65" t="inlineStr">
        <is>
          <t>Department: Engineering. Plan from the investor-pack workbook (grade C).</t>
        </is>
      </c>
    </row>
    <row r="66">
      <c r="A66" s="5" t="inlineStr">
        <is>
          <t>Software engineers - annual pay (NOK)</t>
        </is>
      </c>
      <c r="B66" s="15" t="n">
        <v>969240</v>
      </c>
      <c r="I66" t="inlineStr">
        <is>
          <t>SOURCED</t>
        </is>
      </c>
      <c r="J66" t="inlineStr">
        <is>
          <t>SSB average monthly earnings, information and communication, Nov 2025: NOK 80,770 x 12, https://www.ssb.no/arbeid-og-lonn/lonn-og-arbeidskraftkostnader/statistikk/lonn, accessed 2026-10-17.</t>
        </is>
      </c>
    </row>
    <row r="67">
      <c r="A67" s="5" t="inlineStr">
        <is>
          <t>Software engineers - year-1 start quarter (1-4)</t>
        </is>
      </c>
      <c r="B67" s="6" t="n">
        <v>2</v>
      </c>
      <c r="I67" t="inlineStr">
        <is>
          <t>ASSUMED</t>
        </is>
      </c>
      <c r="J67" t="inlineStr">
        <is>
          <t>Hiring quarter for year-1 hires; drives the year-1 quarterly budget.</t>
        </is>
      </c>
    </row>
    <row r="68">
      <c r="A68" s="5" t="inlineStr">
        <is>
          <t>Software engineers - loaded cost ($K/yr, year-1 prices)</t>
        </is>
      </c>
      <c r="B68" s="16">
        <f>B66*$B$10/$B$9/1000</f>
        <v/>
      </c>
      <c r="I68" t="inlineStr">
        <is>
          <t>DERIVED</t>
        </is>
      </c>
      <c r="J68" t="inlineStr">
        <is>
          <t>NO: pay x loading / FX. US: wage / (1 - benefits share).</t>
        </is>
      </c>
    </row>
    <row r="69">
      <c r="A69" s="5" t="inlineStr">
        <is>
          <t>ML / data engineers - headcount plan</t>
        </is>
      </c>
      <c r="B69" s="6" t="n">
        <v>1</v>
      </c>
      <c r="C69" s="6" t="n">
        <v>1</v>
      </c>
      <c r="D69" s="6" t="n">
        <v>2</v>
      </c>
      <c r="E69" s="6" t="n">
        <v>3</v>
      </c>
      <c r="F69" s="6" t="n">
        <v>3</v>
      </c>
      <c r="G69" s="6" t="n">
        <v>4</v>
      </c>
      <c r="H69" s="6" t="n">
        <v>4</v>
      </c>
      <c r="I69" t="inlineStr">
        <is>
          <t>ASSUMED</t>
        </is>
      </c>
      <c r="J69" t="inlineStr">
        <is>
          <t>Department: Engineering. Plan from the investor-pack workbook (grade C).</t>
        </is>
      </c>
    </row>
    <row r="70">
      <c r="A70" s="5" t="inlineStr">
        <is>
          <t>ML / data engineers - annual pay (NOK)</t>
        </is>
      </c>
      <c r="B70" s="15" t="n">
        <v>1060000</v>
      </c>
      <c r="I70" t="inlineStr">
        <is>
          <t>ASSUMED</t>
        </is>
      </c>
      <c r="J70" t="inlineStr">
        <is>
          <t>SSB sector average plus ~9% for specialist skills (ratio kept from the prior workbook).</t>
        </is>
      </c>
    </row>
    <row r="71">
      <c r="A71" s="5" t="inlineStr">
        <is>
          <t>ML / data engineers - year-1 start quarter (1-4)</t>
        </is>
      </c>
      <c r="B71" s="6" t="n">
        <v>3</v>
      </c>
      <c r="I71" t="inlineStr">
        <is>
          <t>ASSUMED</t>
        </is>
      </c>
      <c r="J71" t="inlineStr">
        <is>
          <t>Hiring quarter for year-1 hires; drives the year-1 quarterly budget.</t>
        </is>
      </c>
    </row>
    <row r="72">
      <c r="A72" s="5" t="inlineStr">
        <is>
          <t>ML / data engineers - loaded cost ($K/yr, year-1 prices)</t>
        </is>
      </c>
      <c r="B72" s="16">
        <f>B70*$B$10/$B$9/1000</f>
        <v/>
      </c>
      <c r="I72" t="inlineStr">
        <is>
          <t>DERIVED</t>
        </is>
      </c>
      <c r="J72" t="inlineStr">
        <is>
          <t>NO: pay x loading / FX. US: wage / (1 - benefits share).</t>
        </is>
      </c>
    </row>
    <row r="73">
      <c r="A73" s="5" t="inlineStr">
        <is>
          <t>Security engineer - headcount plan</t>
        </is>
      </c>
      <c r="B73" s="6" t="n">
        <v>1</v>
      </c>
      <c r="C73" s="6" t="n">
        <v>1</v>
      </c>
      <c r="D73" s="6" t="n">
        <v>1</v>
      </c>
      <c r="E73" s="6" t="n">
        <v>2</v>
      </c>
      <c r="F73" s="6" t="n">
        <v>2</v>
      </c>
      <c r="G73" s="6" t="n">
        <v>3</v>
      </c>
      <c r="H73" s="6" t="n">
        <v>3</v>
      </c>
      <c r="I73" t="inlineStr">
        <is>
          <t>ASSUMED</t>
        </is>
      </c>
      <c r="J73" t="inlineStr">
        <is>
          <t>Department: Security. Plan from the investor-pack workbook (grade C).</t>
        </is>
      </c>
    </row>
    <row r="74">
      <c r="A74" s="5" t="inlineStr">
        <is>
          <t>Security engineer - annual pay (NOK)</t>
        </is>
      </c>
      <c r="B74" s="15" t="n">
        <v>1060000</v>
      </c>
      <c r="I74" t="inlineStr">
        <is>
          <t>ASSUMED</t>
        </is>
      </c>
      <c r="J74" t="inlineStr">
        <is>
          <t>As ML / data engineers.</t>
        </is>
      </c>
    </row>
    <row r="75">
      <c r="A75" s="5" t="inlineStr">
        <is>
          <t>Security engineer - year-1 start quarter (1-4)</t>
        </is>
      </c>
      <c r="B75" s="6" t="n">
        <v>2</v>
      </c>
      <c r="I75" t="inlineStr">
        <is>
          <t>ASSUMED</t>
        </is>
      </c>
      <c r="J75" t="inlineStr">
        <is>
          <t>Hiring quarter for year-1 hires; drives the year-1 quarterly budget.</t>
        </is>
      </c>
    </row>
    <row r="76">
      <c r="A76" s="5" t="inlineStr">
        <is>
          <t>Security engineer - loaded cost ($K/yr, year-1 prices)</t>
        </is>
      </c>
      <c r="B76" s="16">
        <f>B74*$B$10/$B$9/1000</f>
        <v/>
      </c>
      <c r="I76" t="inlineStr">
        <is>
          <t>DERIVED</t>
        </is>
      </c>
      <c r="J76" t="inlineStr">
        <is>
          <t>NO: pay x loading / FX. US: wage / (1 - benefits share).</t>
        </is>
      </c>
    </row>
    <row r="77">
      <c r="A77" s="5" t="inlineStr">
        <is>
          <t>Account executives (US) - headcount plan</t>
        </is>
      </c>
      <c r="B77" s="6" t="n">
        <v>0</v>
      </c>
      <c r="C77" s="6" t="n">
        <v>1</v>
      </c>
      <c r="D77" s="6" t="n">
        <v>3</v>
      </c>
      <c r="E77" s="6" t="n">
        <v>5</v>
      </c>
      <c r="F77" s="6" t="n">
        <v>7</v>
      </c>
      <c r="G77" s="6" t="n">
        <v>8</v>
      </c>
      <c r="H77" s="6" t="n">
        <v>9</v>
      </c>
      <c r="I77" t="inlineStr">
        <is>
          <t>ASSUMED</t>
        </is>
      </c>
      <c r="J77" t="inlineStr">
        <is>
          <t>Department: Sales. Plan from the investor-pack workbook (grade C).</t>
        </is>
      </c>
    </row>
    <row r="78">
      <c r="A78" s="5" t="inlineStr">
        <is>
          <t>Account executives (US) - annual pay (USD)</t>
        </is>
      </c>
      <c r="B78" s="15" t="n">
        <v>161000</v>
      </c>
      <c r="I78" t="inlineStr">
        <is>
          <t>ASSUMED</t>
        </is>
      </c>
      <c r="J78" t="inlineStr">
        <is>
          <t>On-target earnings, set so the loaded cost equals the $230K in the prior workbook. Not re-verified.</t>
        </is>
      </c>
    </row>
    <row r="79">
      <c r="A79" s="5" t="inlineStr">
        <is>
          <t>Account executives (US) - year-1 start quarter (1-4)</t>
        </is>
      </c>
      <c r="B79" s="6" t="n">
        <v>1</v>
      </c>
      <c r="I79" t="inlineStr">
        <is>
          <t>ASSUMED</t>
        </is>
      </c>
      <c r="J79" t="inlineStr">
        <is>
          <t>Hiring quarter for year-1 hires; drives the year-1 quarterly budget.</t>
        </is>
      </c>
    </row>
    <row r="80">
      <c r="A80" s="5" t="inlineStr">
        <is>
          <t>Account executives (US) - loaded cost ($K/yr, year-1 prices)</t>
        </is>
      </c>
      <c r="B80" s="16">
        <f>B78/(1-$B$11)/1000</f>
        <v/>
      </c>
      <c r="I80" t="inlineStr">
        <is>
          <t>DERIVED</t>
        </is>
      </c>
      <c r="J80" t="inlineStr">
        <is>
          <t>NO: pay x loading / FX. US: wage / (1 - benefits share).</t>
        </is>
      </c>
    </row>
    <row r="81">
      <c r="A81" s="5" t="inlineStr">
        <is>
          <t>Sales engineer (US) - headcount plan</t>
        </is>
      </c>
      <c r="B81" s="6" t="n">
        <v>0</v>
      </c>
      <c r="C81" s="6" t="n">
        <v>1</v>
      </c>
      <c r="D81" s="6" t="n">
        <v>1</v>
      </c>
      <c r="E81" s="6" t="n">
        <v>2</v>
      </c>
      <c r="F81" s="6" t="n">
        <v>2</v>
      </c>
      <c r="G81" s="6" t="n">
        <v>3</v>
      </c>
      <c r="H81" s="6" t="n">
        <v>3</v>
      </c>
      <c r="I81" t="inlineStr">
        <is>
          <t>ASSUMED</t>
        </is>
      </c>
      <c r="J81" t="inlineStr">
        <is>
          <t>Department: Sales. Plan from the investor-pack workbook (grade C).</t>
        </is>
      </c>
    </row>
    <row r="82">
      <c r="A82" s="5" t="inlineStr">
        <is>
          <t>Sales engineer (US) - annual pay (USD)</t>
        </is>
      </c>
      <c r="B82" s="15" t="n">
        <v>124900</v>
      </c>
      <c r="I82" t="inlineStr">
        <is>
          <t>SOURCED</t>
        </is>
      </c>
      <c r="J82" t="inlineStr">
        <is>
          <t>BLS Occupational Outlook Handbook, sales engineers median $124,900 (May 2025), https://www.bls.gov/ooh/sales/sales-engineers.htm, accessed 2026-10-17.</t>
        </is>
      </c>
    </row>
    <row r="83">
      <c r="A83" s="5" t="inlineStr">
        <is>
          <t>Sales engineer (US) - year-1 start quarter (1-4)</t>
        </is>
      </c>
      <c r="B83" s="6" t="n">
        <v>1</v>
      </c>
      <c r="I83" t="inlineStr">
        <is>
          <t>ASSUMED</t>
        </is>
      </c>
      <c r="J83" t="inlineStr">
        <is>
          <t>Hiring quarter for year-1 hires; drives the year-1 quarterly budget.</t>
        </is>
      </c>
    </row>
    <row r="84">
      <c r="A84" s="5" t="inlineStr">
        <is>
          <t>Sales engineer (US) - loaded cost ($K/yr, year-1 prices)</t>
        </is>
      </c>
      <c r="B84" s="16">
        <f>B82/(1-$B$11)/1000</f>
        <v/>
      </c>
      <c r="I84" t="inlineStr">
        <is>
          <t>DERIVED</t>
        </is>
      </c>
      <c r="J84" t="inlineStr">
        <is>
          <t>NO: pay x loading / FX. US: wage / (1 - benefits share).</t>
        </is>
      </c>
    </row>
    <row r="85">
      <c r="A85" s="5" t="inlineStr">
        <is>
          <t>Claims analysts / customer success (US) - headcount plan</t>
        </is>
      </c>
      <c r="B85" s="6" t="n">
        <v>1</v>
      </c>
      <c r="C85" s="6" t="n">
        <v>2</v>
      </c>
      <c r="D85" s="6" t="n">
        <v>4</v>
      </c>
      <c r="E85" s="6" t="n">
        <v>7</v>
      </c>
      <c r="F85" s="6" t="n">
        <v>10</v>
      </c>
      <c r="G85" s="6" t="n">
        <v>13</v>
      </c>
      <c r="H85" s="6" t="n">
        <v>16</v>
      </c>
      <c r="I85" t="inlineStr">
        <is>
          <t>ASSUMED</t>
        </is>
      </c>
      <c r="J85" t="inlineStr">
        <is>
          <t>Department: Claims operations (COGS). Plan from the investor-pack workbook (grade C).</t>
        </is>
      </c>
    </row>
    <row r="86">
      <c r="A86" s="5" t="inlineStr">
        <is>
          <t>Claims analysts / customer success (US) - annual pay (USD)</t>
        </is>
      </c>
      <c r="B86" s="15" t="n">
        <v>70000</v>
      </c>
      <c r="I86" t="inlineStr">
        <is>
          <t>ASSUMED</t>
        </is>
      </c>
      <c r="J86" t="inlineStr">
        <is>
          <t>Analyst base pay ~$70K (prior workbook, grade C).</t>
        </is>
      </c>
    </row>
    <row r="87">
      <c r="A87" s="5" t="inlineStr">
        <is>
          <t>Claims analysts / customer success (US) - year-1 start quarter (1-4)</t>
        </is>
      </c>
      <c r="B87" s="6" t="n">
        <v>3</v>
      </c>
      <c r="I87" t="inlineStr">
        <is>
          <t>ASSUMED</t>
        </is>
      </c>
      <c r="J87" t="inlineStr">
        <is>
          <t>Hiring quarter for year-1 hires; drives the year-1 quarterly budget.</t>
        </is>
      </c>
    </row>
    <row r="88">
      <c r="A88" s="5" t="inlineStr">
        <is>
          <t>Claims analysts / customer success (US) - loaded cost ($K/yr, year-1 prices)</t>
        </is>
      </c>
      <c r="B88" s="16">
        <f>B86/(1-$B$11)/1000</f>
        <v/>
      </c>
      <c r="I88" t="inlineStr">
        <is>
          <t>DERIVED</t>
        </is>
      </c>
      <c r="J88" t="inlineStr">
        <is>
          <t>NO: pay x loading / FX. US: wage / (1 - benefits share).</t>
        </is>
      </c>
    </row>
    <row r="89">
      <c r="A89" s="5" t="inlineStr">
        <is>
          <t>Marketing (US) - headcount plan</t>
        </is>
      </c>
      <c r="B89" s="6" t="n">
        <v>0</v>
      </c>
      <c r="C89" s="6" t="n">
        <v>0</v>
      </c>
      <c r="D89" s="6" t="n">
        <v>1</v>
      </c>
      <c r="E89" s="6" t="n">
        <v>1</v>
      </c>
      <c r="F89" s="6" t="n">
        <v>2</v>
      </c>
      <c r="G89" s="6" t="n">
        <v>2</v>
      </c>
      <c r="H89" s="6" t="n">
        <v>2</v>
      </c>
      <c r="I89" t="inlineStr">
        <is>
          <t>ASSUMED</t>
        </is>
      </c>
      <c r="J89" t="inlineStr">
        <is>
          <t>Department: Marketing. Plan from the investor-pack workbook (grade C).</t>
        </is>
      </c>
    </row>
    <row r="90">
      <c r="A90" s="5" t="inlineStr">
        <is>
          <t>Marketing (US) - annual pay (USD)</t>
        </is>
      </c>
      <c r="B90" s="15" t="n">
        <v>105000</v>
      </c>
      <c r="I90" t="inlineStr">
        <is>
          <t>ASSUMED</t>
        </is>
      </c>
      <c r="J90" t="inlineStr">
        <is>
          <t>Estimate; loaded $150K as in the prior workbook.</t>
        </is>
      </c>
    </row>
    <row r="91">
      <c r="A91" s="5" t="inlineStr">
        <is>
          <t>Marketing (US) - year-1 start quarter (1-4)</t>
        </is>
      </c>
      <c r="B91" s="6" t="n">
        <v>1</v>
      </c>
      <c r="I91" t="inlineStr">
        <is>
          <t>ASSUMED</t>
        </is>
      </c>
      <c r="J91" t="inlineStr">
        <is>
          <t>Hiring quarter for year-1 hires; drives the year-1 quarterly budget.</t>
        </is>
      </c>
    </row>
    <row r="92">
      <c r="A92" s="5" t="inlineStr">
        <is>
          <t>Marketing (US) - loaded cost ($K/yr, year-1 prices)</t>
        </is>
      </c>
      <c r="B92" s="16">
        <f>B90/(1-$B$11)/1000</f>
        <v/>
      </c>
      <c r="I92" t="inlineStr">
        <is>
          <t>DERIVED</t>
        </is>
      </c>
      <c r="J92" t="inlineStr">
        <is>
          <t>NO: pay x loading / FX. US: wage / (1 - benefits share).</t>
        </is>
      </c>
    </row>
    <row r="93">
      <c r="A93" s="5" t="inlineStr">
        <is>
          <t>Finance, legal operations, people - headcount plan</t>
        </is>
      </c>
      <c r="B93" s="6" t="n">
        <v>0</v>
      </c>
      <c r="C93" s="6" t="n">
        <v>1</v>
      </c>
      <c r="D93" s="6" t="n">
        <v>1</v>
      </c>
      <c r="E93" s="6" t="n">
        <v>2</v>
      </c>
      <c r="F93" s="6" t="n">
        <v>2</v>
      </c>
      <c r="G93" s="6" t="n">
        <v>3</v>
      </c>
      <c r="H93" s="6" t="n">
        <v>3</v>
      </c>
      <c r="I93" t="inlineStr">
        <is>
          <t>ASSUMED</t>
        </is>
      </c>
      <c r="J93" t="inlineStr">
        <is>
          <t>Department: G&amp;A. Plan from the investor-pack workbook (grade C).</t>
        </is>
      </c>
    </row>
    <row r="94">
      <c r="A94" s="5" t="inlineStr">
        <is>
          <t>Finance, legal operations, people - annual pay (NOK)</t>
        </is>
      </c>
      <c r="B94" s="15" t="n">
        <v>1120000</v>
      </c>
      <c r="I94" t="inlineStr">
        <is>
          <t>ASSUMED</t>
        </is>
      </c>
      <c r="J94" t="inlineStr">
        <is>
          <t>SSB sector average plus ~15%; loaded $130K at 10.5 NOK/USD in the prior workbook.</t>
        </is>
      </c>
    </row>
    <row r="95">
      <c r="A95" s="5" t="inlineStr">
        <is>
          <t>Finance, legal operations, people - year-1 start quarter (1-4)</t>
        </is>
      </c>
      <c r="B95" s="6" t="n">
        <v>1</v>
      </c>
      <c r="I95" t="inlineStr">
        <is>
          <t>ASSUMED</t>
        </is>
      </c>
      <c r="J95" t="inlineStr">
        <is>
          <t>Hiring quarter for year-1 hires; drives the year-1 quarterly budget.</t>
        </is>
      </c>
    </row>
    <row r="96">
      <c r="A96" s="5" t="inlineStr">
        <is>
          <t>Finance, legal operations, people - loaded cost ($K/yr, year-1 prices)</t>
        </is>
      </c>
      <c r="B96" s="16">
        <f>B94*$B$10/$B$9/1000</f>
        <v/>
      </c>
      <c r="I96" t="inlineStr">
        <is>
          <t>DERIVED</t>
        </is>
      </c>
      <c r="J96" t="inlineStr">
        <is>
          <t>NO: pay x loading / FX. US: wage / (1 - benefits share).</t>
        </is>
      </c>
    </row>
    <row r="97">
      <c r="A97" s="3" t="inlineStr">
        <is>
          <t>Other operating costs, base plan ($K per year)</t>
        </is>
      </c>
      <c r="B97" s="3" t="inlineStr">
        <is>
          <t>Y1</t>
        </is>
      </c>
      <c r="C97" s="3" t="inlineStr">
        <is>
          <t>Y2</t>
        </is>
      </c>
      <c r="D97" s="3" t="inlineStr">
        <is>
          <t>Y3</t>
        </is>
      </c>
      <c r="E97" s="3" t="inlineStr">
        <is>
          <t>Y4</t>
        </is>
      </c>
      <c r="F97" s="3" t="inlineStr">
        <is>
          <t>Y5</t>
        </is>
      </c>
      <c r="G97" s="3" t="inlineStr">
        <is>
          <t>Y6</t>
        </is>
      </c>
      <c r="H97" s="3" t="inlineStr">
        <is>
          <t>Y7</t>
        </is>
      </c>
      <c r="I97" s="4" t="n"/>
      <c r="J97" s="4" t="n"/>
    </row>
    <row r="98">
      <c r="A98" s="5" t="inlineStr">
        <is>
          <t>Cloud hosting, data feeds and tooling [COGS]</t>
        </is>
      </c>
      <c r="B98" s="10" t="n">
        <v>45</v>
      </c>
      <c r="C98" s="10" t="n">
        <v>80</v>
      </c>
      <c r="D98" s="10" t="n">
        <v>140</v>
      </c>
      <c r="E98" s="10" t="n">
        <v>220</v>
      </c>
      <c r="F98" s="10" t="n">
        <v>300</v>
      </c>
      <c r="G98" s="10" t="n">
        <v>370</v>
      </c>
      <c r="H98" s="10" t="n">
        <v>430</v>
      </c>
      <c r="I98" t="inlineStr">
        <is>
          <t>ASSUMED</t>
        </is>
      </c>
      <c r="J98" t="inlineStr">
        <is>
          <t>Terraform footprint plus container-event data fees (prior workbook, grade C).</t>
        </is>
      </c>
    </row>
    <row r="99">
      <c r="A99" s="5" t="inlineStr">
        <is>
          <t>Security programme (SOC 2, pen tests, tooling, insurance) [Security]</t>
        </is>
      </c>
      <c r="B99" s="10" t="n">
        <v>120</v>
      </c>
      <c r="C99" s="10" t="n">
        <v>150</v>
      </c>
      <c r="D99" s="10" t="n">
        <v>170</v>
      </c>
      <c r="E99" s="10" t="n">
        <v>190</v>
      </c>
      <c r="F99" s="10" t="n">
        <v>210</v>
      </c>
      <c r="G99" s="10" t="n">
        <v>230</v>
      </c>
      <c r="H99" s="10" t="n">
        <v>250</v>
      </c>
      <c r="I99" t="inlineStr">
        <is>
          <t>ASSUMED</t>
        </is>
      </c>
      <c r="J99" t="inlineStr">
        <is>
          <t>SOC 2 Type II first year $50-110K and pen tests $15-35K each (vendor blogs, grade C, not re-verified).</t>
        </is>
      </c>
    </row>
    <row r="100">
      <c r="A100" s="5" t="inlineStr">
        <is>
          <t>Legal and regulatory [G&amp;A]</t>
        </is>
      </c>
      <c r="B100" s="10" t="n">
        <v>150</v>
      </c>
      <c r="C100" s="10" t="n">
        <v>110</v>
      </c>
      <c r="D100" s="10" t="n">
        <v>120</v>
      </c>
      <c r="E100" s="10" t="n">
        <v>140</v>
      </c>
      <c r="F100" s="10" t="n">
        <v>150</v>
      </c>
      <c r="G100" s="10" t="n">
        <v>160</v>
      </c>
      <c r="H100" s="10" t="n">
        <v>170</v>
      </c>
      <c r="I100" t="inlineStr">
        <is>
          <t>ASSUMED</t>
        </is>
      </c>
      <c r="J100" t="inlineStr">
        <is>
          <t>US entity, customer contracts, FMC and data-protection counsel (grade C).</t>
        </is>
      </c>
    </row>
    <row r="101">
      <c r="A101" s="5" t="inlineStr">
        <is>
          <t>Marketing programmes and events [Marketing]</t>
        </is>
      </c>
      <c r="B101" s="10" t="n">
        <v>30</v>
      </c>
      <c r="C101" s="10" t="n">
        <v>90</v>
      </c>
      <c r="D101" s="10" t="n">
        <v>200</v>
      </c>
      <c r="E101" s="10" t="n">
        <v>320</v>
      </c>
      <c r="F101" s="10" t="n">
        <v>420</v>
      </c>
      <c r="G101" s="10" t="n">
        <v>480</v>
      </c>
      <c r="H101" s="10" t="n">
        <v>520</v>
      </c>
      <c r="I101" t="inlineStr">
        <is>
          <t>ASSUMED</t>
        </is>
      </c>
      <c r="J101" t="inlineStr">
        <is>
          <t>Trade shows (TIA, CSCMP, TPM), content, list data (grade C). Channel CAC from digital-marketing pending.</t>
        </is>
      </c>
    </row>
    <row r="102">
      <c r="A102" s="5" t="inlineStr">
        <is>
          <t>Travel and customer visits [Sales]</t>
        </is>
      </c>
      <c r="B102" s="10" t="n">
        <v>60</v>
      </c>
      <c r="C102" s="10" t="n">
        <v>100</v>
      </c>
      <c r="D102" s="10" t="n">
        <v>150</v>
      </c>
      <c r="E102" s="10" t="n">
        <v>200</v>
      </c>
      <c r="F102" s="10" t="n">
        <v>240</v>
      </c>
      <c r="G102" s="10" t="n">
        <v>270</v>
      </c>
      <c r="H102" s="10" t="n">
        <v>300</v>
      </c>
      <c r="I102" t="inlineStr">
        <is>
          <t>ASSUMED</t>
        </is>
      </c>
      <c r="J102" t="inlineStr">
        <is>
          <t>US customer and partner visits (grade C).</t>
        </is>
      </c>
    </row>
    <row r="103">
      <c r="A103" s="5" t="inlineStr">
        <is>
          <t>Office, software, admin, accounting [G&amp;A]</t>
        </is>
      </c>
      <c r="B103" s="10" t="n">
        <v>50</v>
      </c>
      <c r="C103" s="10" t="n">
        <v>80</v>
      </c>
      <c r="D103" s="10" t="n">
        <v>110</v>
      </c>
      <c r="E103" s="10" t="n">
        <v>150</v>
      </c>
      <c r="F103" s="10" t="n">
        <v>180</v>
      </c>
      <c r="G103" s="10" t="n">
        <v>210</v>
      </c>
      <c r="H103" s="10" t="n">
        <v>240</v>
      </c>
      <c r="I103" t="inlineStr">
        <is>
          <t>ASSUMED</t>
        </is>
      </c>
      <c r="J103" t="inlineStr">
        <is>
          <t>Estimate (grade 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4" customWidth="1" min="1" max="1"/>
    <col width="12" customWidth="1" min="2" max="2"/>
    <col width="12" customWidth="1" min="3" max="3"/>
    <col width="12" customWidth="1" min="4" max="4"/>
    <col width="12" customWidth="1" min="5" max="5"/>
    <col width="12" customWidth="1" min="6" max="6"/>
    <col width="12" customWidth="1" min="7" max="7"/>
    <col width="12" customWidth="1" min="8" max="8"/>
  </cols>
  <sheetData>
    <row r="1">
      <c r="A1" s="1" t="inlineStr">
        <is>
          <t>Revenue build (active scenario)</t>
        </is>
      </c>
    </row>
    <row r="2">
      <c r="A2" t="inlineStr">
        <is>
          <t>Accounts x revenue per account. Revenue per account = (platform fee + amount recovered x recovery share) x scenario multiplier.</t>
        </is>
      </c>
    </row>
    <row r="3">
      <c r="A3" s="2" t="inlineStr">
        <is>
          <t>$K unless stated</t>
        </is>
      </c>
      <c r="B3" s="2">
        <f>"Y"&amp;Assumptions!$B$6</f>
        <v/>
      </c>
      <c r="C3" s="2">
        <f>"Y"&amp;Assumptions!$C$6</f>
        <v/>
      </c>
      <c r="D3" s="2">
        <f>"Y"&amp;Assumptions!$D$6</f>
        <v/>
      </c>
      <c r="E3" s="2">
        <f>"Y"&amp;Assumptions!$E$6</f>
        <v/>
      </c>
      <c r="F3" s="2">
        <f>"Y"&amp;Assumptions!$F$6</f>
        <v/>
      </c>
      <c r="G3" s="2">
        <f>"Y"&amp;Assumptions!$G$6</f>
        <v/>
      </c>
      <c r="H3" s="2">
        <f>"Y"&amp;Assumptions!$H$6</f>
        <v/>
      </c>
    </row>
    <row r="4">
      <c r="A4" s="3" t="inlineStr">
        <is>
          <t>Accounts and revenue by segment ($K)</t>
        </is>
      </c>
      <c r="B4" s="4" t="n"/>
      <c r="C4" s="4" t="n"/>
      <c r="D4" s="4" t="n"/>
      <c r="E4" s="4" t="n"/>
      <c r="F4" s="4" t="n"/>
      <c r="G4" s="4" t="n"/>
      <c r="H4" s="4" t="n"/>
      <c r="I4" s="4" t="n"/>
      <c r="J4" s="4" t="n"/>
    </row>
    <row r="5">
      <c r="A5" s="5" t="inlineStr">
        <is>
          <t>Shippers (mid-market): new accounts</t>
        </is>
      </c>
      <c r="B5" s="14">
        <f>ROUND(Assumptions!$B$55*Assumptions!$B$39,0)</f>
        <v/>
      </c>
      <c r="C5" s="14">
        <f>ROUND(Assumptions!$C$55*Assumptions!$B$39,0)</f>
        <v/>
      </c>
      <c r="D5" s="14">
        <f>ROUND(Assumptions!$D$55*Assumptions!$B$39,0)</f>
        <v/>
      </c>
      <c r="E5" s="14">
        <f>ROUND(Assumptions!$E$55*Assumptions!$B$39,0)</f>
        <v/>
      </c>
      <c r="F5" s="14">
        <f>ROUND(Assumptions!$F$55*Assumptions!$B$39,0)</f>
        <v/>
      </c>
      <c r="G5" s="14">
        <f>ROUND(Assumptions!$G$55*Assumptions!$B$39,0)</f>
        <v/>
      </c>
      <c r="H5" s="14">
        <f>ROUND(Assumptions!$H$55*Assumptions!$B$39,0)</f>
        <v/>
      </c>
    </row>
    <row r="6">
      <c r="A6" s="5" t="inlineStr">
        <is>
          <t>Shippers (mid-market): accounts lost = ROUND(prior year-end x churn)</t>
        </is>
      </c>
      <c r="B6" s="14">
        <f>0</f>
        <v/>
      </c>
      <c r="C6" s="14">
        <f>ROUND(B7*Assumptions!$E$45,0)</f>
        <v/>
      </c>
      <c r="D6" s="14">
        <f>ROUND(C7*Assumptions!$E$45,0)</f>
        <v/>
      </c>
      <c r="E6" s="14">
        <f>ROUND(D7*Assumptions!$E$45,0)</f>
        <v/>
      </c>
      <c r="F6" s="14">
        <f>ROUND(E7*Assumptions!$E$45,0)</f>
        <v/>
      </c>
      <c r="G6" s="14">
        <f>ROUND(F7*Assumptions!$E$45,0)</f>
        <v/>
      </c>
      <c r="H6" s="14">
        <f>ROUND(G7*Assumptions!$E$45,0)</f>
        <v/>
      </c>
    </row>
    <row r="7">
      <c r="A7" s="17" t="inlineStr">
        <is>
          <t>Shippers (mid-market): accounts at year end</t>
        </is>
      </c>
      <c r="B7" s="14">
        <f>B5</f>
        <v/>
      </c>
      <c r="C7" s="14">
        <f>B7-C6+C5</f>
        <v/>
      </c>
      <c r="D7" s="14">
        <f>C7-D6+D5</f>
        <v/>
      </c>
      <c r="E7" s="14">
        <f>D7-E6+E5</f>
        <v/>
      </c>
      <c r="F7" s="14">
        <f>E7-F6+F5</f>
        <v/>
      </c>
      <c r="G7" s="14">
        <f>F7-G6+G5</f>
        <v/>
      </c>
      <c r="H7" s="14">
        <f>G7-H6+H5</f>
        <v/>
      </c>
    </row>
    <row r="8">
      <c r="A8" s="5" t="inlineStr">
        <is>
          <t>Shippers (mid-market): average accounts</t>
        </is>
      </c>
      <c r="B8" s="16">
        <f>B7/2</f>
        <v/>
      </c>
      <c r="C8" s="16">
        <f>(B7+C7)/2</f>
        <v/>
      </c>
      <c r="D8" s="16">
        <f>(C7+D7)/2</f>
        <v/>
      </c>
      <c r="E8" s="16">
        <f>(D7+E7)/2</f>
        <v/>
      </c>
      <c r="F8" s="16">
        <f>(E7+F7)/2</f>
        <v/>
      </c>
      <c r="G8" s="16">
        <f>(F7+G7)/2</f>
        <v/>
      </c>
      <c r="H8" s="16">
        <f>(G7+H7)/2</f>
        <v/>
      </c>
    </row>
    <row r="9">
      <c r="A9" s="5" t="inlineStr">
        <is>
          <t>Shippers (mid-market): revenue per account ($K)</t>
        </is>
      </c>
      <c r="B9" s="16">
        <f>(Assumptions!$B$35+Assumptions!$B$36*Assumptions!$B$40*Assumptions!$B$37)*Assumptions!$E$46</f>
        <v/>
      </c>
      <c r="C9" s="16">
        <f>(Assumptions!$C$35+Assumptions!$C$36*Assumptions!$B$40*Assumptions!$C$37)*Assumptions!$E$46</f>
        <v/>
      </c>
      <c r="D9" s="16">
        <f>(Assumptions!$D$35+Assumptions!$D$36*Assumptions!$B$40*Assumptions!$D$37)*Assumptions!$E$46</f>
        <v/>
      </c>
      <c r="E9" s="16">
        <f>(Assumptions!$E$35+Assumptions!$E$36*Assumptions!$B$40*Assumptions!$E$37)*Assumptions!$E$46</f>
        <v/>
      </c>
      <c r="F9" s="16">
        <f>(Assumptions!$F$35+Assumptions!$F$36*Assumptions!$B$40*Assumptions!$F$37)*Assumptions!$E$46</f>
        <v/>
      </c>
      <c r="G9" s="16">
        <f>(Assumptions!$G$35+Assumptions!$G$36*Assumptions!$B$40*Assumptions!$G$37)*Assumptions!$E$46</f>
        <v/>
      </c>
      <c r="H9" s="16">
        <f>(Assumptions!$H$35+Assumptions!$H$36*Assumptions!$B$40*Assumptions!$H$37)*Assumptions!$E$46</f>
        <v/>
      </c>
    </row>
    <row r="10">
      <c r="A10" s="5" t="inlineStr">
        <is>
          <t>Shippers (mid-market): revenue</t>
        </is>
      </c>
      <c r="B10" s="18">
        <f>B8*B9</f>
        <v/>
      </c>
      <c r="C10" s="18">
        <f>C8*C9</f>
        <v/>
      </c>
      <c r="D10" s="18">
        <f>D8*D9</f>
        <v/>
      </c>
      <c r="E10" s="18">
        <f>E8*E9</f>
        <v/>
      </c>
      <c r="F10" s="18">
        <f>F8*F9</f>
        <v/>
      </c>
      <c r="G10" s="18">
        <f>G8*G9</f>
        <v/>
      </c>
      <c r="H10" s="18">
        <f>H8*H9</f>
        <v/>
      </c>
    </row>
    <row r="11">
      <c r="A11" s="5" t="inlineStr">
        <is>
          <t>Shippers (mid-market): ARR at year end</t>
        </is>
      </c>
      <c r="B11" s="18">
        <f>B7*B9</f>
        <v/>
      </c>
      <c r="C11" s="18">
        <f>C7*C9</f>
        <v/>
      </c>
      <c r="D11" s="18">
        <f>D7*D9</f>
        <v/>
      </c>
      <c r="E11" s="18">
        <f>E7*E9</f>
        <v/>
      </c>
      <c r="F11" s="18">
        <f>F7*F9</f>
        <v/>
      </c>
      <c r="G11" s="18">
        <f>G7*G9</f>
        <v/>
      </c>
      <c r="H11" s="18">
        <f>H7*H9</f>
        <v/>
      </c>
    </row>
    <row r="12">
      <c r="A12" s="5" t="inlineStr">
        <is>
          <t>SME importers: new accounts</t>
        </is>
      </c>
      <c r="B12" s="14">
        <f>Assumptions!$B$55-ROUND(Assumptions!$B$55*Assumptions!$B$39,0)</f>
        <v/>
      </c>
      <c r="C12" s="14">
        <f>Assumptions!$C$55-ROUND(Assumptions!$C$55*Assumptions!$B$39,0)</f>
        <v/>
      </c>
      <c r="D12" s="14">
        <f>Assumptions!$D$55-ROUND(Assumptions!$D$55*Assumptions!$B$39,0)</f>
        <v/>
      </c>
      <c r="E12" s="14">
        <f>Assumptions!$E$55-ROUND(Assumptions!$E$55*Assumptions!$B$39,0)</f>
        <v/>
      </c>
      <c r="F12" s="14">
        <f>Assumptions!$F$55-ROUND(Assumptions!$F$55*Assumptions!$B$39,0)</f>
        <v/>
      </c>
      <c r="G12" s="14">
        <f>Assumptions!$G$55-ROUND(Assumptions!$G$55*Assumptions!$B$39,0)</f>
        <v/>
      </c>
      <c r="H12" s="14">
        <f>Assumptions!$H$55-ROUND(Assumptions!$H$55*Assumptions!$B$39,0)</f>
        <v/>
      </c>
    </row>
    <row r="13">
      <c r="A13" s="5" t="inlineStr">
        <is>
          <t>SME importers: accounts lost = ROUND(prior year-end x churn)</t>
        </is>
      </c>
      <c r="B13" s="14">
        <f>0</f>
        <v/>
      </c>
      <c r="C13" s="14">
        <f>ROUND(B14*Assumptions!$E$45,0)</f>
        <v/>
      </c>
      <c r="D13" s="14">
        <f>ROUND(C14*Assumptions!$E$45,0)</f>
        <v/>
      </c>
      <c r="E13" s="14">
        <f>ROUND(D14*Assumptions!$E$45,0)</f>
        <v/>
      </c>
      <c r="F13" s="14">
        <f>ROUND(E14*Assumptions!$E$45,0)</f>
        <v/>
      </c>
      <c r="G13" s="14">
        <f>ROUND(F14*Assumptions!$E$45,0)</f>
        <v/>
      </c>
      <c r="H13" s="14">
        <f>ROUND(G14*Assumptions!$E$45,0)</f>
        <v/>
      </c>
    </row>
    <row r="14">
      <c r="A14" s="17" t="inlineStr">
        <is>
          <t>SME importers: accounts at year end</t>
        </is>
      </c>
      <c r="B14" s="14">
        <f>B12</f>
        <v/>
      </c>
      <c r="C14" s="14">
        <f>B14-C13+C12</f>
        <v/>
      </c>
      <c r="D14" s="14">
        <f>C14-D13+D12</f>
        <v/>
      </c>
      <c r="E14" s="14">
        <f>D14-E13+E12</f>
        <v/>
      </c>
      <c r="F14" s="14">
        <f>E14-F13+F12</f>
        <v/>
      </c>
      <c r="G14" s="14">
        <f>F14-G13+G12</f>
        <v/>
      </c>
      <c r="H14" s="14">
        <f>G14-H13+H12</f>
        <v/>
      </c>
    </row>
    <row r="15">
      <c r="A15" s="5" t="inlineStr">
        <is>
          <t>SME importers: average accounts</t>
        </is>
      </c>
      <c r="B15" s="16">
        <f>B14/2</f>
        <v/>
      </c>
      <c r="C15" s="16">
        <f>(B14+C14)/2</f>
        <v/>
      </c>
      <c r="D15" s="16">
        <f>(C14+D14)/2</f>
        <v/>
      </c>
      <c r="E15" s="16">
        <f>(D14+E14)/2</f>
        <v/>
      </c>
      <c r="F15" s="16">
        <f>(E14+F14)/2</f>
        <v/>
      </c>
      <c r="G15" s="16">
        <f>(F14+G14)/2</f>
        <v/>
      </c>
      <c r="H15" s="16">
        <f>(G14+H14)/2</f>
        <v/>
      </c>
    </row>
    <row r="16">
      <c r="A16" s="5" t="inlineStr">
        <is>
          <t>SME importers: revenue per account ($K)</t>
        </is>
      </c>
      <c r="B16" s="16">
        <f>(Assumptions!$B$35+Assumptions!$B$36*Assumptions!$B$37)*Assumptions!$E$46</f>
        <v/>
      </c>
      <c r="C16" s="16">
        <f>(Assumptions!$C$35+Assumptions!$C$36*Assumptions!$C$37)*Assumptions!$E$46</f>
        <v/>
      </c>
      <c r="D16" s="16">
        <f>(Assumptions!$D$35+Assumptions!$D$36*Assumptions!$D$37)*Assumptions!$E$46</f>
        <v/>
      </c>
      <c r="E16" s="16">
        <f>(Assumptions!$E$35+Assumptions!$E$36*Assumptions!$E$37)*Assumptions!$E$46</f>
        <v/>
      </c>
      <c r="F16" s="16">
        <f>(Assumptions!$F$35+Assumptions!$F$36*Assumptions!$F$37)*Assumptions!$E$46</f>
        <v/>
      </c>
      <c r="G16" s="16">
        <f>(Assumptions!$G$35+Assumptions!$G$36*Assumptions!$G$37)*Assumptions!$E$46</f>
        <v/>
      </c>
      <c r="H16" s="16">
        <f>(Assumptions!$H$35+Assumptions!$H$36*Assumptions!$H$37)*Assumptions!$E$46</f>
        <v/>
      </c>
    </row>
    <row r="17">
      <c r="A17" s="5" t="inlineStr">
        <is>
          <t>SME importers: revenue</t>
        </is>
      </c>
      <c r="B17" s="18">
        <f>B15*B16</f>
        <v/>
      </c>
      <c r="C17" s="18">
        <f>C15*C16</f>
        <v/>
      </c>
      <c r="D17" s="18">
        <f>D15*D16</f>
        <v/>
      </c>
      <c r="E17" s="18">
        <f>E15*E16</f>
        <v/>
      </c>
      <c r="F17" s="18">
        <f>F15*F16</f>
        <v/>
      </c>
      <c r="G17" s="18">
        <f>G15*G16</f>
        <v/>
      </c>
      <c r="H17" s="18">
        <f>H15*H16</f>
        <v/>
      </c>
    </row>
    <row r="18">
      <c r="A18" s="5" t="inlineStr">
        <is>
          <t>SME importers: ARR at year end</t>
        </is>
      </c>
      <c r="B18" s="18">
        <f>B14*B16</f>
        <v/>
      </c>
      <c r="C18" s="18">
        <f>C14*C16</f>
        <v/>
      </c>
      <c r="D18" s="18">
        <f>D14*D16</f>
        <v/>
      </c>
      <c r="E18" s="18">
        <f>E14*E16</f>
        <v/>
      </c>
      <c r="F18" s="18">
        <f>F14*F16</f>
        <v/>
      </c>
      <c r="G18" s="18">
        <f>G14*G16</f>
        <v/>
      </c>
      <c r="H18" s="18">
        <f>H14*H16</f>
        <v/>
      </c>
    </row>
    <row r="19">
      <c r="A19" s="5" t="inlineStr">
        <is>
          <t>Carriers (partner-led): new accounts</t>
        </is>
      </c>
      <c r="B19" s="14">
        <f>Assumptions!$B$59</f>
        <v/>
      </c>
      <c r="C19" s="14">
        <f>Assumptions!$C$59</f>
        <v/>
      </c>
      <c r="D19" s="14">
        <f>Assumptions!$D$59</f>
        <v/>
      </c>
      <c r="E19" s="14">
        <f>Assumptions!$E$59</f>
        <v/>
      </c>
      <c r="F19" s="14">
        <f>Assumptions!$F$59</f>
        <v/>
      </c>
      <c r="G19" s="14">
        <f>Assumptions!$G$59</f>
        <v/>
      </c>
      <c r="H19" s="14">
        <f>Assumptions!$H$59</f>
        <v/>
      </c>
    </row>
    <row r="20">
      <c r="A20" s="5" t="inlineStr">
        <is>
          <t>Carriers (partner-led): accounts lost = ROUND(prior year-end x churn)</t>
        </is>
      </c>
      <c r="B20" s="14">
        <f>0</f>
        <v/>
      </c>
      <c r="C20" s="14">
        <f>ROUND(B21*Assumptions!$E$45,0)</f>
        <v/>
      </c>
      <c r="D20" s="14">
        <f>ROUND(C21*Assumptions!$E$45,0)</f>
        <v/>
      </c>
      <c r="E20" s="14">
        <f>ROUND(D21*Assumptions!$E$45,0)</f>
        <v/>
      </c>
      <c r="F20" s="14">
        <f>ROUND(E21*Assumptions!$E$45,0)</f>
        <v/>
      </c>
      <c r="G20" s="14">
        <f>ROUND(F21*Assumptions!$E$45,0)</f>
        <v/>
      </c>
      <c r="H20" s="14">
        <f>ROUND(G21*Assumptions!$E$45,0)</f>
        <v/>
      </c>
    </row>
    <row r="21">
      <c r="A21" s="17" t="inlineStr">
        <is>
          <t>Carriers (partner-led): accounts at year end</t>
        </is>
      </c>
      <c r="B21" s="14">
        <f>B19</f>
        <v/>
      </c>
      <c r="C21" s="14">
        <f>B21-C20+C19</f>
        <v/>
      </c>
      <c r="D21" s="14">
        <f>C21-D20+D19</f>
        <v/>
      </c>
      <c r="E21" s="14">
        <f>D21-E20+E19</f>
        <v/>
      </c>
      <c r="F21" s="14">
        <f>E21-F20+F19</f>
        <v/>
      </c>
      <c r="G21" s="14">
        <f>F21-G20+G19</f>
        <v/>
      </c>
      <c r="H21" s="14">
        <f>G21-H20+H19</f>
        <v/>
      </c>
    </row>
    <row r="22">
      <c r="A22" s="5" t="inlineStr">
        <is>
          <t>Carriers (partner-led): average accounts</t>
        </is>
      </c>
      <c r="B22" s="16">
        <f>B21/2</f>
        <v/>
      </c>
      <c r="C22" s="16">
        <f>(B21+C21)/2</f>
        <v/>
      </c>
      <c r="D22" s="16">
        <f>(C21+D21)/2</f>
        <v/>
      </c>
      <c r="E22" s="16">
        <f>(D21+E21)/2</f>
        <v/>
      </c>
      <c r="F22" s="16">
        <f>(E21+F21)/2</f>
        <v/>
      </c>
      <c r="G22" s="16">
        <f>(F21+G21)/2</f>
        <v/>
      </c>
      <c r="H22" s="16">
        <f>(G21+H21)/2</f>
        <v/>
      </c>
    </row>
    <row r="23">
      <c r="A23" s="5" t="inlineStr">
        <is>
          <t>Carriers (partner-led): revenue per account ($K)</t>
        </is>
      </c>
      <c r="B23" s="16">
        <f>Assumptions!$B$41*Assumptions!$B$42*Assumptions!$E$46</f>
        <v/>
      </c>
      <c r="C23" s="16">
        <f>Assumptions!$C$41*Assumptions!$B$42*Assumptions!$E$46</f>
        <v/>
      </c>
      <c r="D23" s="16">
        <f>Assumptions!$D$41*Assumptions!$B$42*Assumptions!$E$46</f>
        <v/>
      </c>
      <c r="E23" s="16">
        <f>Assumptions!$E$41*Assumptions!$B$42*Assumptions!$E$46</f>
        <v/>
      </c>
      <c r="F23" s="16">
        <f>Assumptions!$F$41*Assumptions!$B$42*Assumptions!$E$46</f>
        <v/>
      </c>
      <c r="G23" s="16">
        <f>Assumptions!$G$41*Assumptions!$B$42*Assumptions!$E$46</f>
        <v/>
      </c>
      <c r="H23" s="16">
        <f>Assumptions!$H$41*Assumptions!$B$42*Assumptions!$E$46</f>
        <v/>
      </c>
    </row>
    <row r="24">
      <c r="A24" s="5" t="inlineStr">
        <is>
          <t>Carriers (partner-led): revenue</t>
        </is>
      </c>
      <c r="B24" s="18">
        <f>B22*B23</f>
        <v/>
      </c>
      <c r="C24" s="18">
        <f>C22*C23</f>
        <v/>
      </c>
      <c r="D24" s="18">
        <f>D22*D23</f>
        <v/>
      </c>
      <c r="E24" s="18">
        <f>E22*E23</f>
        <v/>
      </c>
      <c r="F24" s="18">
        <f>F22*F23</f>
        <v/>
      </c>
      <c r="G24" s="18">
        <f>G22*G23</f>
        <v/>
      </c>
      <c r="H24" s="18">
        <f>H22*H23</f>
        <v/>
      </c>
    </row>
    <row r="25">
      <c r="A25" s="5" t="inlineStr">
        <is>
          <t>Carriers (partner-led): ARR at year end</t>
        </is>
      </c>
      <c r="B25" s="18">
        <f>B21*B23</f>
        <v/>
      </c>
      <c r="C25" s="18">
        <f>C21*C23</f>
        <v/>
      </c>
      <c r="D25" s="18">
        <f>D21*D23</f>
        <v/>
      </c>
      <c r="E25" s="18">
        <f>E21*E23</f>
        <v/>
      </c>
      <c r="F25" s="18">
        <f>F21*F23</f>
        <v/>
      </c>
      <c r="G25" s="18">
        <f>G21*G23</f>
        <v/>
      </c>
      <c r="H25" s="18">
        <f>H21*H23</f>
        <v/>
      </c>
    </row>
    <row r="26">
      <c r="A26" s="17" t="inlineStr">
        <is>
          <t>All segments: new accounts won</t>
        </is>
      </c>
      <c r="B26" s="14">
        <f>B5+B12+B19</f>
        <v/>
      </c>
      <c r="C26" s="14">
        <f>C5+C12+C19</f>
        <v/>
      </c>
      <c r="D26" s="14">
        <f>D5+D12+D19</f>
        <v/>
      </c>
      <c r="E26" s="14">
        <f>E5+E12+E19</f>
        <v/>
      </c>
      <c r="F26" s="14">
        <f>F5+F12+F19</f>
        <v/>
      </c>
      <c r="G26" s="14">
        <f>G5+G12+G19</f>
        <v/>
      </c>
      <c r="H26" s="14">
        <f>H5+H12+H19</f>
        <v/>
      </c>
    </row>
    <row r="27">
      <c r="A27" s="5" t="inlineStr">
        <is>
          <t>All segments: accounts lost</t>
        </is>
      </c>
      <c r="B27" s="14">
        <f>B6+B13+B20</f>
        <v/>
      </c>
      <c r="C27" s="14">
        <f>C6+C13+C20</f>
        <v/>
      </c>
      <c r="D27" s="14">
        <f>D6+D13+D20</f>
        <v/>
      </c>
      <c r="E27" s="14">
        <f>E6+E13+E20</f>
        <v/>
      </c>
      <c r="F27" s="14">
        <f>F6+F13+F20</f>
        <v/>
      </c>
      <c r="G27" s="14">
        <f>G6+G13+G20</f>
        <v/>
      </c>
      <c r="H27" s="14">
        <f>H6+H13+H20</f>
        <v/>
      </c>
    </row>
    <row r="28">
      <c r="A28" s="17" t="inlineStr">
        <is>
          <t>All segments: paying accounts at year end</t>
        </is>
      </c>
      <c r="B28" s="14">
        <f>B7+B14+B21</f>
        <v/>
      </c>
      <c r="C28" s="14">
        <f>C7+C14+C21</f>
        <v/>
      </c>
      <c r="D28" s="14">
        <f>D7+D14+D21</f>
        <v/>
      </c>
      <c r="E28" s="14">
        <f>E7+E14+E21</f>
        <v/>
      </c>
      <c r="F28" s="14">
        <f>F7+F14+F21</f>
        <v/>
      </c>
      <c r="G28" s="14">
        <f>G7+G14+G21</f>
        <v/>
      </c>
      <c r="H28" s="14">
        <f>H7+H14+H21</f>
        <v/>
      </c>
    </row>
    <row r="29">
      <c r="A29" s="5" t="inlineStr">
        <is>
          <t>All segments: average paying accounts</t>
        </is>
      </c>
      <c r="B29" s="16">
        <f>B8+B15+B22</f>
        <v/>
      </c>
      <c r="C29" s="16">
        <f>C8+C15+C22</f>
        <v/>
      </c>
      <c r="D29" s="16">
        <f>D8+D15+D22</f>
        <v/>
      </c>
      <c r="E29" s="16">
        <f>E8+E15+E22</f>
        <v/>
      </c>
      <c r="F29" s="16">
        <f>F8+F15+F22</f>
        <v/>
      </c>
      <c r="G29" s="16">
        <f>G8+G15+G22</f>
        <v/>
      </c>
      <c r="H29" s="16">
        <f>H8+H15+H22</f>
        <v/>
      </c>
    </row>
    <row r="30">
      <c r="A30" s="17" t="inlineStr">
        <is>
          <t>Total revenue</t>
        </is>
      </c>
      <c r="B30" s="18">
        <f>B10+B17+B24</f>
        <v/>
      </c>
      <c r="C30" s="18">
        <f>C10+C17+C24</f>
        <v/>
      </c>
      <c r="D30" s="18">
        <f>D10+D17+D24</f>
        <v/>
      </c>
      <c r="E30" s="18">
        <f>E10+E17+E24</f>
        <v/>
      </c>
      <c r="F30" s="18">
        <f>F10+F17+F24</f>
        <v/>
      </c>
      <c r="G30" s="18">
        <f>G10+G17+G24</f>
        <v/>
      </c>
      <c r="H30" s="18">
        <f>H10+H17+H24</f>
        <v/>
      </c>
    </row>
    <row r="31">
      <c r="A31" s="17" t="inlineStr">
        <is>
          <t>ARR at year end</t>
        </is>
      </c>
      <c r="B31" s="18">
        <f>B11+B18+B25</f>
        <v/>
      </c>
      <c r="C31" s="18">
        <f>C11+C18+C25</f>
        <v/>
      </c>
      <c r="D31" s="18">
        <f>D11+D18+D25</f>
        <v/>
      </c>
      <c r="E31" s="18">
        <f>E11+E18+E25</f>
        <v/>
      </c>
      <c r="F31" s="18">
        <f>F11+F18+F25</f>
        <v/>
      </c>
      <c r="G31" s="18">
        <f>G11+G18+G25</f>
        <v/>
      </c>
      <c r="H31" s="18">
        <f>H11+H18+H25</f>
        <v/>
      </c>
    </row>
    <row r="32">
      <c r="A32" s="17" t="inlineStr">
        <is>
          <t>Blended revenue per account = ARR / accounts ($K)</t>
        </is>
      </c>
      <c r="B32" s="16">
        <f>IF(B28=0,0,B31/B28)</f>
        <v/>
      </c>
      <c r="C32" s="16">
        <f>IF(C28=0,0,C31/C28)</f>
        <v/>
      </c>
      <c r="D32" s="16">
        <f>IF(D28=0,0,D31/D28)</f>
        <v/>
      </c>
      <c r="E32" s="16">
        <f>IF(E28=0,0,E31/E28)</f>
        <v/>
      </c>
      <c r="F32" s="16">
        <f>IF(F28=0,0,F31/F28)</f>
        <v/>
      </c>
      <c r="G32" s="16">
        <f>IF(G28=0,0,G31/G28)</f>
        <v/>
      </c>
      <c r="H32" s="16">
        <f>IF(H28=0,0,H31/H28)</f>
        <v/>
      </c>
    </row>
    <row r="33">
      <c r="A33" s="5" t="inlineStr">
        <is>
          <t>Platform-fee revenue (shippers and importers)</t>
        </is>
      </c>
      <c r="B33" s="18">
        <f>(B8+B15)*Assumptions!$B$35*Assumptions!$E$46</f>
        <v/>
      </c>
      <c r="C33" s="18">
        <f>(C8+C15)*Assumptions!$C$35*Assumptions!$E$46</f>
        <v/>
      </c>
      <c r="D33" s="18">
        <f>(D8+D15)*Assumptions!$D$35*Assumptions!$E$46</f>
        <v/>
      </c>
      <c r="E33" s="18">
        <f>(E8+E15)*Assumptions!$E$35*Assumptions!$E$46</f>
        <v/>
      </c>
      <c r="F33" s="18">
        <f>(F8+F15)*Assumptions!$F$35*Assumptions!$E$46</f>
        <v/>
      </c>
      <c r="G33" s="18">
        <f>(G8+G15)*Assumptions!$G$35*Assumptions!$E$46</f>
        <v/>
      </c>
      <c r="H33" s="18">
        <f>(H8+H15)*Assumptions!$H$35*Assumptions!$E$46</f>
        <v/>
      </c>
    </row>
    <row r="34">
      <c r="A34" s="5" t="inlineStr">
        <is>
          <t>Recovery-share revenue</t>
        </is>
      </c>
      <c r="B34" s="18">
        <f>B30-B33</f>
        <v/>
      </c>
      <c r="C34" s="18">
        <f>C30-C33</f>
        <v/>
      </c>
      <c r="D34" s="18">
        <f>D30-D33</f>
        <v/>
      </c>
      <c r="E34" s="18">
        <f>E30-E33</f>
        <v/>
      </c>
      <c r="F34" s="18">
        <f>F30-F33</f>
        <v/>
      </c>
      <c r="G34" s="18">
        <f>G30-G33</f>
        <v/>
      </c>
      <c r="H34" s="18">
        <f>H30-H33</f>
        <v/>
      </c>
    </row>
    <row r="35">
      <c r="A35" s="5" t="inlineStr">
        <is>
          <t>Total recovered for customers</t>
        </is>
      </c>
      <c r="B35" s="18">
        <f>(B15*Assumptions!$B$36+B8*Assumptions!$B$36*Assumptions!$B$40+B22*Assumptions!$B$41)*Assumptions!$E$46</f>
        <v/>
      </c>
      <c r="C35" s="18">
        <f>(C15*Assumptions!$C$36+C8*Assumptions!$C$36*Assumptions!$B$40+C22*Assumptions!$C$41)*Assumptions!$E$46</f>
        <v/>
      </c>
      <c r="D35" s="18">
        <f>(D15*Assumptions!$D$36+D8*Assumptions!$D$36*Assumptions!$B$40+D22*Assumptions!$D$41)*Assumptions!$E$46</f>
        <v/>
      </c>
      <c r="E35" s="18">
        <f>(E15*Assumptions!$E$36+E8*Assumptions!$E$36*Assumptions!$B$40+E22*Assumptions!$E$41)*Assumptions!$E$46</f>
        <v/>
      </c>
      <c r="F35" s="18">
        <f>(F15*Assumptions!$F$36+F8*Assumptions!$F$36*Assumptions!$B$40+F22*Assumptions!$F$41)*Assumptions!$E$46</f>
        <v/>
      </c>
      <c r="G35" s="18">
        <f>(G15*Assumptions!$G$36+G8*Assumptions!$G$36*Assumptions!$B$40+G22*Assumptions!$G$41)*Assumptions!$E$46</f>
        <v/>
      </c>
      <c r="H35" s="18">
        <f>(H15*Assumptions!$H$36+H8*Assumptions!$H$36*Assumptions!$B$40+H22*Assumptions!$H$41)*Assumptions!$E$46</f>
        <v/>
      </c>
    </row>
    <row r="36">
      <c r="A36" s="5" t="inlineStr">
        <is>
          <t>Net revenue retention = sum over segments of (start accounts - lost) x revenue per account / start ARR</t>
        </is>
      </c>
      <c r="B36" s="12">
        <f>""</f>
        <v/>
      </c>
      <c r="C36" s="12">
        <f>IF(B31=0,"",((B7-C6)*C9+(B14-C13)*C16+(B21-C20)*C23)/B31)</f>
        <v/>
      </c>
      <c r="D36" s="12">
        <f>IF(C31=0,"",((C7-D6)*D9+(C14-D13)*D16+(C21-D20)*D23)/C31)</f>
        <v/>
      </c>
      <c r="E36" s="12">
        <f>IF(D31=0,"",((D7-E6)*E9+(D14-E13)*E16+(D21-E20)*E23)/D31)</f>
        <v/>
      </c>
      <c r="F36" s="12">
        <f>IF(E31=0,"",((E7-F6)*F9+(E14-F13)*F16+(E21-F20)*F23)/E31)</f>
        <v/>
      </c>
      <c r="G36" s="12">
        <f>IF(F31=0,"",((F7-G6)*G9+(F14-G13)*G16+(F21-G20)*G23)/F31)</f>
        <v/>
      </c>
      <c r="H36" s="12">
        <f>IF(G31=0,"",((G7-H6)*H9+(G14-H13)*H16+(G21-H20)*H23)/G31)</f>
        <v/>
      </c>
    </row>
    <row r="37">
      <c r="A37" s="5" t="inlineStr">
        <is>
          <t>Revenue growth</t>
        </is>
      </c>
      <c r="B37" s="12">
        <f>""</f>
        <v/>
      </c>
      <c r="C37" s="12">
        <f>IF(B30=0,"",C30/B30-1)</f>
        <v/>
      </c>
      <c r="D37" s="12">
        <f>IF(C30=0,"",D30/C30-1)</f>
        <v/>
      </c>
      <c r="E37" s="12">
        <f>IF(D30=0,"",E30/D30-1)</f>
        <v/>
      </c>
      <c r="F37" s="12">
        <f>IF(E30=0,"",F30/E30-1)</f>
        <v/>
      </c>
      <c r="G37" s="12">
        <f>IF(F30=0,"",G30/F30-1)</f>
        <v/>
      </c>
      <c r="H37" s="12">
        <f>IF(G30=0,"",H30/G30-1)</f>
        <v/>
      </c>
    </row>
    <row r="38">
      <c r="A38" s="5" t="inlineStr">
        <is>
          <t>Month ARR crosses the Series A milestone (linear within year)</t>
        </is>
      </c>
      <c r="B38" s="16">
        <f>IF(B31&gt;=Assumptions!$B$19,12*Assumptions!$B$19/B31,"")</f>
        <v/>
      </c>
      <c r="C38" s="16">
        <f>IF(AND(C31&gt;=Assumptions!$B$19,B31&lt;Assumptions!$B$19),12*(Assumptions!$C$6-1)+12*(Assumptions!$B$19-B31)/(C31-B31),"")</f>
        <v/>
      </c>
      <c r="D38" s="16">
        <f>IF(AND(D31&gt;=Assumptions!$B$19,C31&lt;Assumptions!$B$19),12*(Assumptions!$D$6-1)+12*(Assumptions!$B$19-C31)/(D31-C31),"")</f>
        <v/>
      </c>
      <c r="E38" s="16">
        <f>IF(AND(E31&gt;=Assumptions!$B$19,D31&lt;Assumptions!$B$19),12*(Assumptions!$E$6-1)+12*(Assumptions!$B$19-D31)/(E31-D31),"")</f>
        <v/>
      </c>
      <c r="F38" s="16">
        <f>IF(AND(F31&gt;=Assumptions!$B$19,E31&lt;Assumptions!$B$19),12*(Assumptions!$F$6-1)+12*(Assumptions!$B$19-E31)/(F31-E31),"")</f>
        <v/>
      </c>
      <c r="G38" s="16">
        <f>IF(AND(G31&gt;=Assumptions!$B$19,F31&lt;Assumptions!$B$19),12*(Assumptions!$G$6-1)+12*(Assumptions!$B$19-F31)/(G31-F31),"")</f>
        <v/>
      </c>
      <c r="H38" s="16">
        <f>IF(AND(H31&gt;=Assumptions!$B$19,G31&lt;Assumptions!$B$19),12*(Assumptions!$H$6-1)+12*(Assumptions!$B$19-G31)/(H31-G31),"")</f>
        <v/>
      </c>
    </row>
    <row r="39">
      <c r="A39" s="17" t="inlineStr">
        <is>
          <t>Series A milestone month</t>
        </is>
      </c>
      <c r="B39" s="14">
        <f>IF(COUNT(B38:H38)=0,"not reached",ROUNDUP(SUM(B38:H38),0))</f>
        <v/>
      </c>
    </row>
    <row r="40">
      <c r="A40" s="5" t="inlineStr">
        <is>
          <t>Year-7 shipper + importer accounts as share of SAM accounts</t>
        </is>
      </c>
      <c r="B40" s="12">
        <f>IFERROR((H7+H14)/Assumptions!$B$31,"")</f>
        <v/>
      </c>
    </row>
    <row r="41">
      <c r="A41" s="5" t="inlineStr">
        <is>
          <t>Shipper + importer revenue as share of SAM revenue pool</t>
        </is>
      </c>
      <c r="B41" s="12">
        <f>IFERROR((B10+B17)/Assumptions!$B$32,"")</f>
        <v/>
      </c>
      <c r="C41" s="12">
        <f>IFERROR((C10+C17)/Assumptions!$B$32,"")</f>
        <v/>
      </c>
      <c r="D41" s="12">
        <f>IFERROR((D10+D17)/Assumptions!$B$32,"")</f>
        <v/>
      </c>
      <c r="E41" s="12">
        <f>IFERROR((E10+E17)/Assumptions!$B$32,"")</f>
        <v/>
      </c>
      <c r="F41" s="12">
        <f>IFERROR((F10+F17)/Assumptions!$B$32,"")</f>
        <v/>
      </c>
      <c r="G41" s="12">
        <f>IFERROR((G10+G17)/Assumptions!$B$32,"")</f>
        <v/>
      </c>
      <c r="H41" s="12">
        <f>IFERROR((H10+H17)/Assumptions!$B$32,"")</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4" customWidth="1" min="1" max="1"/>
    <col width="12" customWidth="1" min="2" max="2"/>
    <col width="12" customWidth="1" min="3" max="3"/>
    <col width="12" customWidth="1" min="4" max="4"/>
    <col width="12" customWidth="1" min="5" max="5"/>
    <col width="12" customWidth="1" min="6" max="6"/>
    <col width="12" customWidth="1" min="7" max="7"/>
    <col width="12" customWidth="1" min="8" max="8"/>
  </cols>
  <sheetData>
    <row r="1">
      <c r="A1" s="1" t="inlineStr">
        <is>
          <t>Headcount and people cost (active scenario)</t>
        </is>
      </c>
    </row>
    <row r="2">
      <c r="A2" t="inlineStr">
        <is>
          <t>Headcount = ROUND(plan x scale), founder unscaled, held at prior year from the freeze year. Year-1 FTE-years use the hiring quarter; later years average start and end headcount. Cost = FTE-years x loaded cost x (1 + inflation)^(year - 1).</t>
        </is>
      </c>
    </row>
    <row r="3">
      <c r="A3" s="2" t="inlineStr">
        <is>
          <t>$K unless stated</t>
        </is>
      </c>
      <c r="B3" s="2">
        <f>"Y"&amp;Assumptions!$B$6</f>
        <v/>
      </c>
      <c r="C3" s="2">
        <f>"Y"&amp;Assumptions!$C$6</f>
        <v/>
      </c>
      <c r="D3" s="2">
        <f>"Y"&amp;Assumptions!$D$6</f>
        <v/>
      </c>
      <c r="E3" s="2">
        <f>"Y"&amp;Assumptions!$E$6</f>
        <v/>
      </c>
      <c r="F3" s="2">
        <f>"Y"&amp;Assumptions!$F$6</f>
        <v/>
      </c>
      <c r="G3" s="2">
        <f>"Y"&amp;Assumptions!$G$6</f>
        <v/>
      </c>
      <c r="H3" s="2">
        <f>"Y"&amp;Assumptions!$H$6</f>
        <v/>
      </c>
    </row>
    <row r="4">
      <c r="A4" s="3" t="inlineStr">
        <is>
          <t>People at year end</t>
        </is>
      </c>
      <c r="B4" s="4" t="n"/>
      <c r="C4" s="4" t="n"/>
      <c r="D4" s="4" t="n"/>
      <c r="E4" s="4" t="n"/>
      <c r="F4" s="4" t="n"/>
      <c r="G4" s="4" t="n"/>
      <c r="H4" s="4" t="n"/>
      <c r="I4" s="4" t="n"/>
      <c r="J4" s="4" t="n"/>
    </row>
    <row r="5">
      <c r="A5" s="5" t="inlineStr">
        <is>
          <t>Founder / CEO [G&amp;A]</t>
        </is>
      </c>
      <c r="B5" s="14">
        <f>Assumptions!$B$61</f>
        <v/>
      </c>
      <c r="C5" s="14">
        <f>IF(AND(Assumptions!$E$48&gt;0,Assumptions!$C$6&gt;=Assumptions!$E$48,Assumptions!$C$6&lt;Assumptions!$E$48+Assumptions!$E$49),B5,Assumptions!$C$61)</f>
        <v/>
      </c>
      <c r="D5" s="14">
        <f>IF(AND(Assumptions!$E$48&gt;0,Assumptions!$D$6&gt;=Assumptions!$E$48,Assumptions!$D$6&lt;Assumptions!$E$48+Assumptions!$E$49),C5,Assumptions!$D$61)</f>
        <v/>
      </c>
      <c r="E5" s="14">
        <f>IF(AND(Assumptions!$E$48&gt;0,Assumptions!$E$6&gt;=Assumptions!$E$48,Assumptions!$E$6&lt;Assumptions!$E$48+Assumptions!$E$49),D5,Assumptions!$E$61)</f>
        <v/>
      </c>
      <c r="F5" s="14">
        <f>IF(AND(Assumptions!$E$48&gt;0,Assumptions!$F$6&gt;=Assumptions!$E$48,Assumptions!$F$6&lt;Assumptions!$E$48+Assumptions!$E$49),E5,Assumptions!$F$61)</f>
        <v/>
      </c>
      <c r="G5" s="14">
        <f>IF(AND(Assumptions!$E$48&gt;0,Assumptions!$G$6&gt;=Assumptions!$E$48,Assumptions!$G$6&lt;Assumptions!$E$48+Assumptions!$E$49),F5,Assumptions!$G$61)</f>
        <v/>
      </c>
      <c r="H5" s="14">
        <f>IF(AND(Assumptions!$E$48&gt;0,Assumptions!$H$6&gt;=Assumptions!$E$48,Assumptions!$H$6&lt;Assumptions!$E$48+Assumptions!$E$49),G5,Assumptions!$H$61)</f>
        <v/>
      </c>
    </row>
    <row r="6">
      <c r="A6" s="5" t="inlineStr">
        <is>
          <t>Software engineers [Engineering]</t>
        </is>
      </c>
      <c r="B6" s="14">
        <f>ROUND(Assumptions!$B$65*Assumptions!$E$47,0)</f>
        <v/>
      </c>
      <c r="C6" s="14">
        <f>IF(AND(Assumptions!$E$48&gt;0,Assumptions!$C$6&gt;=Assumptions!$E$48,Assumptions!$C$6&lt;Assumptions!$E$48+Assumptions!$E$49),B6,ROUND(Assumptions!$C$65*Assumptions!$E$47,0))</f>
        <v/>
      </c>
      <c r="D6" s="14">
        <f>IF(AND(Assumptions!$E$48&gt;0,Assumptions!$D$6&gt;=Assumptions!$E$48,Assumptions!$D$6&lt;Assumptions!$E$48+Assumptions!$E$49),C6,ROUND(Assumptions!$D$65*Assumptions!$E$47,0))</f>
        <v/>
      </c>
      <c r="E6" s="14">
        <f>IF(AND(Assumptions!$E$48&gt;0,Assumptions!$E$6&gt;=Assumptions!$E$48,Assumptions!$E$6&lt;Assumptions!$E$48+Assumptions!$E$49),D6,ROUND(Assumptions!$E$65*Assumptions!$E$47,0))</f>
        <v/>
      </c>
      <c r="F6" s="14">
        <f>IF(AND(Assumptions!$E$48&gt;0,Assumptions!$F$6&gt;=Assumptions!$E$48,Assumptions!$F$6&lt;Assumptions!$E$48+Assumptions!$E$49),E6,ROUND(Assumptions!$F$65*Assumptions!$E$47,0))</f>
        <v/>
      </c>
      <c r="G6" s="14">
        <f>IF(AND(Assumptions!$E$48&gt;0,Assumptions!$G$6&gt;=Assumptions!$E$48,Assumptions!$G$6&lt;Assumptions!$E$48+Assumptions!$E$49),F6,ROUND(Assumptions!$G$65*Assumptions!$E$47,0))</f>
        <v/>
      </c>
      <c r="H6" s="14">
        <f>IF(AND(Assumptions!$E$48&gt;0,Assumptions!$H$6&gt;=Assumptions!$E$48,Assumptions!$H$6&lt;Assumptions!$E$48+Assumptions!$E$49),G6,ROUND(Assumptions!$H$65*Assumptions!$E$47,0))</f>
        <v/>
      </c>
    </row>
    <row r="7">
      <c r="A7" s="5" t="inlineStr">
        <is>
          <t>ML / data engineers [Engineering]</t>
        </is>
      </c>
      <c r="B7" s="14">
        <f>ROUND(Assumptions!$B$69*Assumptions!$E$47,0)</f>
        <v/>
      </c>
      <c r="C7" s="14">
        <f>IF(AND(Assumptions!$E$48&gt;0,Assumptions!$C$6&gt;=Assumptions!$E$48,Assumptions!$C$6&lt;Assumptions!$E$48+Assumptions!$E$49),B7,ROUND(Assumptions!$C$69*Assumptions!$E$47,0))</f>
        <v/>
      </c>
      <c r="D7" s="14">
        <f>IF(AND(Assumptions!$E$48&gt;0,Assumptions!$D$6&gt;=Assumptions!$E$48,Assumptions!$D$6&lt;Assumptions!$E$48+Assumptions!$E$49),C7,ROUND(Assumptions!$D$69*Assumptions!$E$47,0))</f>
        <v/>
      </c>
      <c r="E7" s="14">
        <f>IF(AND(Assumptions!$E$48&gt;0,Assumptions!$E$6&gt;=Assumptions!$E$48,Assumptions!$E$6&lt;Assumptions!$E$48+Assumptions!$E$49),D7,ROUND(Assumptions!$E$69*Assumptions!$E$47,0))</f>
        <v/>
      </c>
      <c r="F7" s="14">
        <f>IF(AND(Assumptions!$E$48&gt;0,Assumptions!$F$6&gt;=Assumptions!$E$48,Assumptions!$F$6&lt;Assumptions!$E$48+Assumptions!$E$49),E7,ROUND(Assumptions!$F$69*Assumptions!$E$47,0))</f>
        <v/>
      </c>
      <c r="G7" s="14">
        <f>IF(AND(Assumptions!$E$48&gt;0,Assumptions!$G$6&gt;=Assumptions!$E$48,Assumptions!$G$6&lt;Assumptions!$E$48+Assumptions!$E$49),F7,ROUND(Assumptions!$G$69*Assumptions!$E$47,0))</f>
        <v/>
      </c>
      <c r="H7" s="14">
        <f>IF(AND(Assumptions!$E$48&gt;0,Assumptions!$H$6&gt;=Assumptions!$E$48,Assumptions!$H$6&lt;Assumptions!$E$48+Assumptions!$E$49),G7,ROUND(Assumptions!$H$69*Assumptions!$E$47,0))</f>
        <v/>
      </c>
    </row>
    <row r="8">
      <c r="A8" s="5" t="inlineStr">
        <is>
          <t>Security engineer [Security]</t>
        </is>
      </c>
      <c r="B8" s="14">
        <f>ROUND(Assumptions!$B$73*Assumptions!$E$47,0)</f>
        <v/>
      </c>
      <c r="C8" s="14">
        <f>IF(AND(Assumptions!$E$48&gt;0,Assumptions!$C$6&gt;=Assumptions!$E$48,Assumptions!$C$6&lt;Assumptions!$E$48+Assumptions!$E$49),B8,ROUND(Assumptions!$C$73*Assumptions!$E$47,0))</f>
        <v/>
      </c>
      <c r="D8" s="14">
        <f>IF(AND(Assumptions!$E$48&gt;0,Assumptions!$D$6&gt;=Assumptions!$E$48,Assumptions!$D$6&lt;Assumptions!$E$48+Assumptions!$E$49),C8,ROUND(Assumptions!$D$73*Assumptions!$E$47,0))</f>
        <v/>
      </c>
      <c r="E8" s="14">
        <f>IF(AND(Assumptions!$E$48&gt;0,Assumptions!$E$6&gt;=Assumptions!$E$48,Assumptions!$E$6&lt;Assumptions!$E$48+Assumptions!$E$49),D8,ROUND(Assumptions!$E$73*Assumptions!$E$47,0))</f>
        <v/>
      </c>
      <c r="F8" s="14">
        <f>IF(AND(Assumptions!$E$48&gt;0,Assumptions!$F$6&gt;=Assumptions!$E$48,Assumptions!$F$6&lt;Assumptions!$E$48+Assumptions!$E$49),E8,ROUND(Assumptions!$F$73*Assumptions!$E$47,0))</f>
        <v/>
      </c>
      <c r="G8" s="14">
        <f>IF(AND(Assumptions!$E$48&gt;0,Assumptions!$G$6&gt;=Assumptions!$E$48,Assumptions!$G$6&lt;Assumptions!$E$48+Assumptions!$E$49),F8,ROUND(Assumptions!$G$73*Assumptions!$E$47,0))</f>
        <v/>
      </c>
      <c r="H8" s="14">
        <f>IF(AND(Assumptions!$E$48&gt;0,Assumptions!$H$6&gt;=Assumptions!$E$48,Assumptions!$H$6&lt;Assumptions!$E$48+Assumptions!$E$49),G8,ROUND(Assumptions!$H$73*Assumptions!$E$47,0))</f>
        <v/>
      </c>
    </row>
    <row r="9">
      <c r="A9" s="5" t="inlineStr">
        <is>
          <t>Account executives (US) [Sales]</t>
        </is>
      </c>
      <c r="B9" s="14">
        <f>ROUND(Assumptions!$B$77*Assumptions!$E$47,0)</f>
        <v/>
      </c>
      <c r="C9" s="14">
        <f>IF(AND(Assumptions!$E$48&gt;0,Assumptions!$C$6&gt;=Assumptions!$E$48,Assumptions!$C$6&lt;Assumptions!$E$48+Assumptions!$E$49),B9,ROUND(Assumptions!$C$77*Assumptions!$E$47,0))</f>
        <v/>
      </c>
      <c r="D9" s="14">
        <f>IF(AND(Assumptions!$E$48&gt;0,Assumptions!$D$6&gt;=Assumptions!$E$48,Assumptions!$D$6&lt;Assumptions!$E$48+Assumptions!$E$49),C9,ROUND(Assumptions!$D$77*Assumptions!$E$47,0))</f>
        <v/>
      </c>
      <c r="E9" s="14">
        <f>IF(AND(Assumptions!$E$48&gt;0,Assumptions!$E$6&gt;=Assumptions!$E$48,Assumptions!$E$6&lt;Assumptions!$E$48+Assumptions!$E$49),D9,ROUND(Assumptions!$E$77*Assumptions!$E$47,0))</f>
        <v/>
      </c>
      <c r="F9" s="14">
        <f>IF(AND(Assumptions!$E$48&gt;0,Assumptions!$F$6&gt;=Assumptions!$E$48,Assumptions!$F$6&lt;Assumptions!$E$48+Assumptions!$E$49),E9,ROUND(Assumptions!$F$77*Assumptions!$E$47,0))</f>
        <v/>
      </c>
      <c r="G9" s="14">
        <f>IF(AND(Assumptions!$E$48&gt;0,Assumptions!$G$6&gt;=Assumptions!$E$48,Assumptions!$G$6&lt;Assumptions!$E$48+Assumptions!$E$49),F9,ROUND(Assumptions!$G$77*Assumptions!$E$47,0))</f>
        <v/>
      </c>
      <c r="H9" s="14">
        <f>IF(AND(Assumptions!$E$48&gt;0,Assumptions!$H$6&gt;=Assumptions!$E$48,Assumptions!$H$6&lt;Assumptions!$E$48+Assumptions!$E$49),G9,ROUND(Assumptions!$H$77*Assumptions!$E$47,0))</f>
        <v/>
      </c>
    </row>
    <row r="10">
      <c r="A10" s="5" t="inlineStr">
        <is>
          <t>Sales engineer (US) [Sales]</t>
        </is>
      </c>
      <c r="B10" s="14">
        <f>ROUND(Assumptions!$B$81*Assumptions!$E$47,0)</f>
        <v/>
      </c>
      <c r="C10" s="14">
        <f>IF(AND(Assumptions!$E$48&gt;0,Assumptions!$C$6&gt;=Assumptions!$E$48,Assumptions!$C$6&lt;Assumptions!$E$48+Assumptions!$E$49),B10,ROUND(Assumptions!$C$81*Assumptions!$E$47,0))</f>
        <v/>
      </c>
      <c r="D10" s="14">
        <f>IF(AND(Assumptions!$E$48&gt;0,Assumptions!$D$6&gt;=Assumptions!$E$48,Assumptions!$D$6&lt;Assumptions!$E$48+Assumptions!$E$49),C10,ROUND(Assumptions!$D$81*Assumptions!$E$47,0))</f>
        <v/>
      </c>
      <c r="E10" s="14">
        <f>IF(AND(Assumptions!$E$48&gt;0,Assumptions!$E$6&gt;=Assumptions!$E$48,Assumptions!$E$6&lt;Assumptions!$E$48+Assumptions!$E$49),D10,ROUND(Assumptions!$E$81*Assumptions!$E$47,0))</f>
        <v/>
      </c>
      <c r="F10" s="14">
        <f>IF(AND(Assumptions!$E$48&gt;0,Assumptions!$F$6&gt;=Assumptions!$E$48,Assumptions!$F$6&lt;Assumptions!$E$48+Assumptions!$E$49),E10,ROUND(Assumptions!$F$81*Assumptions!$E$47,0))</f>
        <v/>
      </c>
      <c r="G10" s="14">
        <f>IF(AND(Assumptions!$E$48&gt;0,Assumptions!$G$6&gt;=Assumptions!$E$48,Assumptions!$G$6&lt;Assumptions!$E$48+Assumptions!$E$49),F10,ROUND(Assumptions!$G$81*Assumptions!$E$47,0))</f>
        <v/>
      </c>
      <c r="H10" s="14">
        <f>IF(AND(Assumptions!$E$48&gt;0,Assumptions!$H$6&gt;=Assumptions!$E$48,Assumptions!$H$6&lt;Assumptions!$E$48+Assumptions!$E$49),G10,ROUND(Assumptions!$H$81*Assumptions!$E$47,0))</f>
        <v/>
      </c>
    </row>
    <row r="11">
      <c r="A11" s="5" t="inlineStr">
        <is>
          <t>Claims analysts / customer success (US) [Claims operations (COGS)]</t>
        </is>
      </c>
      <c r="B11" s="14">
        <f>ROUND(Assumptions!$B$85*Assumptions!$E$47,0)</f>
        <v/>
      </c>
      <c r="C11" s="14">
        <f>IF(AND(Assumptions!$E$48&gt;0,Assumptions!$C$6&gt;=Assumptions!$E$48,Assumptions!$C$6&lt;Assumptions!$E$48+Assumptions!$E$49),B11,ROUND(Assumptions!$C$85*Assumptions!$E$47,0))</f>
        <v/>
      </c>
      <c r="D11" s="14">
        <f>IF(AND(Assumptions!$E$48&gt;0,Assumptions!$D$6&gt;=Assumptions!$E$48,Assumptions!$D$6&lt;Assumptions!$E$48+Assumptions!$E$49),C11,ROUND(Assumptions!$D$85*Assumptions!$E$47,0))</f>
        <v/>
      </c>
      <c r="E11" s="14">
        <f>IF(AND(Assumptions!$E$48&gt;0,Assumptions!$E$6&gt;=Assumptions!$E$48,Assumptions!$E$6&lt;Assumptions!$E$48+Assumptions!$E$49),D11,ROUND(Assumptions!$E$85*Assumptions!$E$47,0))</f>
        <v/>
      </c>
      <c r="F11" s="14">
        <f>IF(AND(Assumptions!$E$48&gt;0,Assumptions!$F$6&gt;=Assumptions!$E$48,Assumptions!$F$6&lt;Assumptions!$E$48+Assumptions!$E$49),E11,ROUND(Assumptions!$F$85*Assumptions!$E$47,0))</f>
        <v/>
      </c>
      <c r="G11" s="14">
        <f>IF(AND(Assumptions!$E$48&gt;0,Assumptions!$G$6&gt;=Assumptions!$E$48,Assumptions!$G$6&lt;Assumptions!$E$48+Assumptions!$E$49),F11,ROUND(Assumptions!$G$85*Assumptions!$E$47,0))</f>
        <v/>
      </c>
      <c r="H11" s="14">
        <f>IF(AND(Assumptions!$E$48&gt;0,Assumptions!$H$6&gt;=Assumptions!$E$48,Assumptions!$H$6&lt;Assumptions!$E$48+Assumptions!$E$49),G11,ROUND(Assumptions!$H$85*Assumptions!$E$47,0))</f>
        <v/>
      </c>
    </row>
    <row r="12">
      <c r="A12" s="5" t="inlineStr">
        <is>
          <t>Marketing (US) [Marketing]</t>
        </is>
      </c>
      <c r="B12" s="14">
        <f>ROUND(Assumptions!$B$89*Assumptions!$E$47,0)</f>
        <v/>
      </c>
      <c r="C12" s="14">
        <f>IF(AND(Assumptions!$E$48&gt;0,Assumptions!$C$6&gt;=Assumptions!$E$48,Assumptions!$C$6&lt;Assumptions!$E$48+Assumptions!$E$49),B12,ROUND(Assumptions!$C$89*Assumptions!$E$47,0))</f>
        <v/>
      </c>
      <c r="D12" s="14">
        <f>IF(AND(Assumptions!$E$48&gt;0,Assumptions!$D$6&gt;=Assumptions!$E$48,Assumptions!$D$6&lt;Assumptions!$E$48+Assumptions!$E$49),C12,ROUND(Assumptions!$D$89*Assumptions!$E$47,0))</f>
        <v/>
      </c>
      <c r="E12" s="14">
        <f>IF(AND(Assumptions!$E$48&gt;0,Assumptions!$E$6&gt;=Assumptions!$E$48,Assumptions!$E$6&lt;Assumptions!$E$48+Assumptions!$E$49),D12,ROUND(Assumptions!$E$89*Assumptions!$E$47,0))</f>
        <v/>
      </c>
      <c r="F12" s="14">
        <f>IF(AND(Assumptions!$E$48&gt;0,Assumptions!$F$6&gt;=Assumptions!$E$48,Assumptions!$F$6&lt;Assumptions!$E$48+Assumptions!$E$49),E12,ROUND(Assumptions!$F$89*Assumptions!$E$47,0))</f>
        <v/>
      </c>
      <c r="G12" s="14">
        <f>IF(AND(Assumptions!$E$48&gt;0,Assumptions!$G$6&gt;=Assumptions!$E$48,Assumptions!$G$6&lt;Assumptions!$E$48+Assumptions!$E$49),F12,ROUND(Assumptions!$G$89*Assumptions!$E$47,0))</f>
        <v/>
      </c>
      <c r="H12" s="14">
        <f>IF(AND(Assumptions!$E$48&gt;0,Assumptions!$H$6&gt;=Assumptions!$E$48,Assumptions!$H$6&lt;Assumptions!$E$48+Assumptions!$E$49),G12,ROUND(Assumptions!$H$89*Assumptions!$E$47,0))</f>
        <v/>
      </c>
    </row>
    <row r="13">
      <c r="A13" s="5" t="inlineStr">
        <is>
          <t>Finance, legal operations, people [G&amp;A]</t>
        </is>
      </c>
      <c r="B13" s="14">
        <f>ROUND(Assumptions!$B$93*Assumptions!$E$47,0)</f>
        <v/>
      </c>
      <c r="C13" s="14">
        <f>IF(AND(Assumptions!$E$48&gt;0,Assumptions!$C$6&gt;=Assumptions!$E$48,Assumptions!$C$6&lt;Assumptions!$E$48+Assumptions!$E$49),B13,ROUND(Assumptions!$C$93*Assumptions!$E$47,0))</f>
        <v/>
      </c>
      <c r="D13" s="14">
        <f>IF(AND(Assumptions!$E$48&gt;0,Assumptions!$D$6&gt;=Assumptions!$E$48,Assumptions!$D$6&lt;Assumptions!$E$48+Assumptions!$E$49),C13,ROUND(Assumptions!$D$93*Assumptions!$E$47,0))</f>
        <v/>
      </c>
      <c r="E13" s="14">
        <f>IF(AND(Assumptions!$E$48&gt;0,Assumptions!$E$6&gt;=Assumptions!$E$48,Assumptions!$E$6&lt;Assumptions!$E$48+Assumptions!$E$49),D13,ROUND(Assumptions!$E$93*Assumptions!$E$47,0))</f>
        <v/>
      </c>
      <c r="F13" s="14">
        <f>IF(AND(Assumptions!$E$48&gt;0,Assumptions!$F$6&gt;=Assumptions!$E$48,Assumptions!$F$6&lt;Assumptions!$E$48+Assumptions!$E$49),E13,ROUND(Assumptions!$F$93*Assumptions!$E$47,0))</f>
        <v/>
      </c>
      <c r="G13" s="14">
        <f>IF(AND(Assumptions!$E$48&gt;0,Assumptions!$G$6&gt;=Assumptions!$E$48,Assumptions!$G$6&lt;Assumptions!$E$48+Assumptions!$E$49),F13,ROUND(Assumptions!$G$93*Assumptions!$E$47,0))</f>
        <v/>
      </c>
      <c r="H13" s="14">
        <f>IF(AND(Assumptions!$E$48&gt;0,Assumptions!$H$6&gt;=Assumptions!$E$48,Assumptions!$H$6&lt;Assumptions!$E$48+Assumptions!$E$49),G13,ROUND(Assumptions!$H$93*Assumptions!$E$47,0))</f>
        <v/>
      </c>
    </row>
    <row r="14">
      <c r="A14" s="17" t="inlineStr">
        <is>
          <t>Total headcount at year end</t>
        </is>
      </c>
      <c r="B14" s="14">
        <f>SUM(B5:B13)</f>
        <v/>
      </c>
      <c r="C14" s="14">
        <f>SUM(C5:C13)</f>
        <v/>
      </c>
      <c r="D14" s="14">
        <f>SUM(D5:D13)</f>
        <v/>
      </c>
      <c r="E14" s="14">
        <f>SUM(E5:E13)</f>
        <v/>
      </c>
      <c r="F14" s="14">
        <f>SUM(F5:F13)</f>
        <v/>
      </c>
      <c r="G14" s="14">
        <f>SUM(G5:G13)</f>
        <v/>
      </c>
      <c r="H14" s="14">
        <f>SUM(H5:H13)</f>
        <v/>
      </c>
    </row>
    <row r="15">
      <c r="A15" s="5" t="inlineStr">
        <is>
          <t>Net new hires</t>
        </is>
      </c>
      <c r="B15" s="14">
        <f>B14</f>
        <v/>
      </c>
      <c r="C15" s="14">
        <f>MAX(0,C14-B14)</f>
        <v/>
      </c>
      <c r="D15" s="14">
        <f>MAX(0,D14-C14)</f>
        <v/>
      </c>
      <c r="E15" s="14">
        <f>MAX(0,E14-D14)</f>
        <v/>
      </c>
      <c r="F15" s="14">
        <f>MAX(0,F14-E14)</f>
        <v/>
      </c>
      <c r="G15" s="14">
        <f>MAX(0,G14-F14)</f>
        <v/>
      </c>
      <c r="H15" s="14">
        <f>MAX(0,H14-G14)</f>
        <v/>
      </c>
    </row>
    <row r="16">
      <c r="A16" s="3" t="inlineStr">
        <is>
          <t>FTE-years paid in the year</t>
        </is>
      </c>
      <c r="B16" s="4" t="n"/>
      <c r="C16" s="4" t="n"/>
      <c r="D16" s="4" t="n"/>
      <c r="E16" s="4" t="n"/>
      <c r="F16" s="4" t="n"/>
      <c r="G16" s="4" t="n"/>
      <c r="H16" s="4" t="n"/>
      <c r="I16" s="4" t="n"/>
      <c r="J16" s="4" t="n"/>
    </row>
    <row r="17">
      <c r="A17" s="5" t="inlineStr">
        <is>
          <t>Founder / CEO</t>
        </is>
      </c>
      <c r="B17" s="16">
        <f>B5*(5-Assumptions!$B$63)/4</f>
        <v/>
      </c>
      <c r="C17" s="16">
        <f>(B5+C5)/2</f>
        <v/>
      </c>
      <c r="D17" s="16">
        <f>(C5+D5)/2</f>
        <v/>
      </c>
      <c r="E17" s="16">
        <f>(D5+E5)/2</f>
        <v/>
      </c>
      <c r="F17" s="16">
        <f>(E5+F5)/2</f>
        <v/>
      </c>
      <c r="G17" s="16">
        <f>(F5+G5)/2</f>
        <v/>
      </c>
      <c r="H17" s="16">
        <f>(G5+H5)/2</f>
        <v/>
      </c>
    </row>
    <row r="18">
      <c r="A18" s="5" t="inlineStr">
        <is>
          <t>Software engineers</t>
        </is>
      </c>
      <c r="B18" s="16">
        <f>B6*(5-Assumptions!$B$67)/4</f>
        <v/>
      </c>
      <c r="C18" s="16">
        <f>(B6+C6)/2</f>
        <v/>
      </c>
      <c r="D18" s="16">
        <f>(C6+D6)/2</f>
        <v/>
      </c>
      <c r="E18" s="16">
        <f>(D6+E6)/2</f>
        <v/>
      </c>
      <c r="F18" s="16">
        <f>(E6+F6)/2</f>
        <v/>
      </c>
      <c r="G18" s="16">
        <f>(F6+G6)/2</f>
        <v/>
      </c>
      <c r="H18" s="16">
        <f>(G6+H6)/2</f>
        <v/>
      </c>
    </row>
    <row r="19">
      <c r="A19" s="5" t="inlineStr">
        <is>
          <t>ML / data engineers</t>
        </is>
      </c>
      <c r="B19" s="16">
        <f>B7*(5-Assumptions!$B$71)/4</f>
        <v/>
      </c>
      <c r="C19" s="16">
        <f>(B7+C7)/2</f>
        <v/>
      </c>
      <c r="D19" s="16">
        <f>(C7+D7)/2</f>
        <v/>
      </c>
      <c r="E19" s="16">
        <f>(D7+E7)/2</f>
        <v/>
      </c>
      <c r="F19" s="16">
        <f>(E7+F7)/2</f>
        <v/>
      </c>
      <c r="G19" s="16">
        <f>(F7+G7)/2</f>
        <v/>
      </c>
      <c r="H19" s="16">
        <f>(G7+H7)/2</f>
        <v/>
      </c>
    </row>
    <row r="20">
      <c r="A20" s="5" t="inlineStr">
        <is>
          <t>Security engineer</t>
        </is>
      </c>
      <c r="B20" s="16">
        <f>B8*(5-Assumptions!$B$75)/4</f>
        <v/>
      </c>
      <c r="C20" s="16">
        <f>(B8+C8)/2</f>
        <v/>
      </c>
      <c r="D20" s="16">
        <f>(C8+D8)/2</f>
        <v/>
      </c>
      <c r="E20" s="16">
        <f>(D8+E8)/2</f>
        <v/>
      </c>
      <c r="F20" s="16">
        <f>(E8+F8)/2</f>
        <v/>
      </c>
      <c r="G20" s="16">
        <f>(F8+G8)/2</f>
        <v/>
      </c>
      <c r="H20" s="16">
        <f>(G8+H8)/2</f>
        <v/>
      </c>
    </row>
    <row r="21">
      <c r="A21" s="5" t="inlineStr">
        <is>
          <t>Account executives (US)</t>
        </is>
      </c>
      <c r="B21" s="16">
        <f>B9*(5-Assumptions!$B$79)/4</f>
        <v/>
      </c>
      <c r="C21" s="16">
        <f>(B9+C9)/2</f>
        <v/>
      </c>
      <c r="D21" s="16">
        <f>(C9+D9)/2</f>
        <v/>
      </c>
      <c r="E21" s="16">
        <f>(D9+E9)/2</f>
        <v/>
      </c>
      <c r="F21" s="16">
        <f>(E9+F9)/2</f>
        <v/>
      </c>
      <c r="G21" s="16">
        <f>(F9+G9)/2</f>
        <v/>
      </c>
      <c r="H21" s="16">
        <f>(G9+H9)/2</f>
        <v/>
      </c>
    </row>
    <row r="22">
      <c r="A22" s="5" t="inlineStr">
        <is>
          <t>Sales engineer (US)</t>
        </is>
      </c>
      <c r="B22" s="16">
        <f>B10*(5-Assumptions!$B$83)/4</f>
        <v/>
      </c>
      <c r="C22" s="16">
        <f>(B10+C10)/2</f>
        <v/>
      </c>
      <c r="D22" s="16">
        <f>(C10+D10)/2</f>
        <v/>
      </c>
      <c r="E22" s="16">
        <f>(D10+E10)/2</f>
        <v/>
      </c>
      <c r="F22" s="16">
        <f>(E10+F10)/2</f>
        <v/>
      </c>
      <c r="G22" s="16">
        <f>(F10+G10)/2</f>
        <v/>
      </c>
      <c r="H22" s="16">
        <f>(G10+H10)/2</f>
        <v/>
      </c>
    </row>
    <row r="23">
      <c r="A23" s="5" t="inlineStr">
        <is>
          <t>Claims analysts / customer success (US)</t>
        </is>
      </c>
      <c r="B23" s="16">
        <f>B11*(5-Assumptions!$B$87)/4</f>
        <v/>
      </c>
      <c r="C23" s="16">
        <f>(B11+C11)/2</f>
        <v/>
      </c>
      <c r="D23" s="16">
        <f>(C11+D11)/2</f>
        <v/>
      </c>
      <c r="E23" s="16">
        <f>(D11+E11)/2</f>
        <v/>
      </c>
      <c r="F23" s="16">
        <f>(E11+F11)/2</f>
        <v/>
      </c>
      <c r="G23" s="16">
        <f>(F11+G11)/2</f>
        <v/>
      </c>
      <c r="H23" s="16">
        <f>(G11+H11)/2</f>
        <v/>
      </c>
    </row>
    <row r="24">
      <c r="A24" s="5" t="inlineStr">
        <is>
          <t>Marketing (US)</t>
        </is>
      </c>
      <c r="B24" s="16">
        <f>B12*(5-Assumptions!$B$91)/4</f>
        <v/>
      </c>
      <c r="C24" s="16">
        <f>(B12+C12)/2</f>
        <v/>
      </c>
      <c r="D24" s="16">
        <f>(C12+D12)/2</f>
        <v/>
      </c>
      <c r="E24" s="16">
        <f>(D12+E12)/2</f>
        <v/>
      </c>
      <c r="F24" s="16">
        <f>(E12+F12)/2</f>
        <v/>
      </c>
      <c r="G24" s="16">
        <f>(F12+G12)/2</f>
        <v/>
      </c>
      <c r="H24" s="16">
        <f>(G12+H12)/2</f>
        <v/>
      </c>
    </row>
    <row r="25">
      <c r="A25" s="5" t="inlineStr">
        <is>
          <t>Finance, legal operations, people</t>
        </is>
      </c>
      <c r="B25" s="16">
        <f>B13*(5-Assumptions!$B$95)/4</f>
        <v/>
      </c>
      <c r="C25" s="16">
        <f>(B13+C13)/2</f>
        <v/>
      </c>
      <c r="D25" s="16">
        <f>(C13+D13)/2</f>
        <v/>
      </c>
      <c r="E25" s="16">
        <f>(D13+E13)/2</f>
        <v/>
      </c>
      <c r="F25" s="16">
        <f>(E13+F13)/2</f>
        <v/>
      </c>
      <c r="G25" s="16">
        <f>(F13+G13)/2</f>
        <v/>
      </c>
      <c r="H25" s="16">
        <f>(G13+H13)/2</f>
        <v/>
      </c>
    </row>
    <row r="26">
      <c r="A26" s="3" t="inlineStr">
        <is>
          <t>People cost ($K)</t>
        </is>
      </c>
      <c r="B26" s="4" t="n"/>
      <c r="C26" s="4" t="n"/>
      <c r="D26" s="4" t="n"/>
      <c r="E26" s="4" t="n"/>
      <c r="F26" s="4" t="n"/>
      <c r="G26" s="4" t="n"/>
      <c r="H26" s="4" t="n"/>
      <c r="I26" s="4" t="n"/>
      <c r="J26" s="4" t="n"/>
    </row>
    <row r="27">
      <c r="A27" s="5" t="inlineStr">
        <is>
          <t>Founder / CEO</t>
        </is>
      </c>
      <c r="B27" s="18">
        <f>B17*Assumptions!$B$64*(1+Assumptions!$B$8)^(Assumptions!$B$6-1)</f>
        <v/>
      </c>
      <c r="C27" s="18">
        <f>C17*Assumptions!$B$64*(1+Assumptions!$B$8)^(Assumptions!$C$6-1)</f>
        <v/>
      </c>
      <c r="D27" s="18">
        <f>D17*Assumptions!$B$64*(1+Assumptions!$B$8)^(Assumptions!$D$6-1)</f>
        <v/>
      </c>
      <c r="E27" s="18">
        <f>E17*Assumptions!$B$64*(1+Assumptions!$B$8)^(Assumptions!$E$6-1)</f>
        <v/>
      </c>
      <c r="F27" s="18">
        <f>F17*Assumptions!$B$64*(1+Assumptions!$B$8)^(Assumptions!$F$6-1)</f>
        <v/>
      </c>
      <c r="G27" s="18">
        <f>G17*Assumptions!$B$64*(1+Assumptions!$B$8)^(Assumptions!$G$6-1)</f>
        <v/>
      </c>
      <c r="H27" s="18">
        <f>H17*Assumptions!$B$64*(1+Assumptions!$B$8)^(Assumptions!$H$6-1)</f>
        <v/>
      </c>
    </row>
    <row r="28">
      <c r="A28" s="5" t="inlineStr">
        <is>
          <t>Software engineers</t>
        </is>
      </c>
      <c r="B28" s="18">
        <f>B18*Assumptions!$B$68*(1+Assumptions!$B$8)^(Assumptions!$B$6-1)</f>
        <v/>
      </c>
      <c r="C28" s="18">
        <f>C18*Assumptions!$B$68*(1+Assumptions!$B$8)^(Assumptions!$C$6-1)</f>
        <v/>
      </c>
      <c r="D28" s="18">
        <f>D18*Assumptions!$B$68*(1+Assumptions!$B$8)^(Assumptions!$D$6-1)</f>
        <v/>
      </c>
      <c r="E28" s="18">
        <f>E18*Assumptions!$B$68*(1+Assumptions!$B$8)^(Assumptions!$E$6-1)</f>
        <v/>
      </c>
      <c r="F28" s="18">
        <f>F18*Assumptions!$B$68*(1+Assumptions!$B$8)^(Assumptions!$F$6-1)</f>
        <v/>
      </c>
      <c r="G28" s="18">
        <f>G18*Assumptions!$B$68*(1+Assumptions!$B$8)^(Assumptions!$G$6-1)</f>
        <v/>
      </c>
      <c r="H28" s="18">
        <f>H18*Assumptions!$B$68*(1+Assumptions!$B$8)^(Assumptions!$H$6-1)</f>
        <v/>
      </c>
    </row>
    <row r="29">
      <c r="A29" s="5" t="inlineStr">
        <is>
          <t>ML / data engineers</t>
        </is>
      </c>
      <c r="B29" s="18">
        <f>B19*Assumptions!$B$72*(1+Assumptions!$B$8)^(Assumptions!$B$6-1)</f>
        <v/>
      </c>
      <c r="C29" s="18">
        <f>C19*Assumptions!$B$72*(1+Assumptions!$B$8)^(Assumptions!$C$6-1)</f>
        <v/>
      </c>
      <c r="D29" s="18">
        <f>D19*Assumptions!$B$72*(1+Assumptions!$B$8)^(Assumptions!$D$6-1)</f>
        <v/>
      </c>
      <c r="E29" s="18">
        <f>E19*Assumptions!$B$72*(1+Assumptions!$B$8)^(Assumptions!$E$6-1)</f>
        <v/>
      </c>
      <c r="F29" s="18">
        <f>F19*Assumptions!$B$72*(1+Assumptions!$B$8)^(Assumptions!$F$6-1)</f>
        <v/>
      </c>
      <c r="G29" s="18">
        <f>G19*Assumptions!$B$72*(1+Assumptions!$B$8)^(Assumptions!$G$6-1)</f>
        <v/>
      </c>
      <c r="H29" s="18">
        <f>H19*Assumptions!$B$72*(1+Assumptions!$B$8)^(Assumptions!$H$6-1)</f>
        <v/>
      </c>
    </row>
    <row r="30">
      <c r="A30" s="5" t="inlineStr">
        <is>
          <t>Security engineer</t>
        </is>
      </c>
      <c r="B30" s="18">
        <f>B20*Assumptions!$B$76*(1+Assumptions!$B$8)^(Assumptions!$B$6-1)</f>
        <v/>
      </c>
      <c r="C30" s="18">
        <f>C20*Assumptions!$B$76*(1+Assumptions!$B$8)^(Assumptions!$C$6-1)</f>
        <v/>
      </c>
      <c r="D30" s="18">
        <f>D20*Assumptions!$B$76*(1+Assumptions!$B$8)^(Assumptions!$D$6-1)</f>
        <v/>
      </c>
      <c r="E30" s="18">
        <f>E20*Assumptions!$B$76*(1+Assumptions!$B$8)^(Assumptions!$E$6-1)</f>
        <v/>
      </c>
      <c r="F30" s="18">
        <f>F20*Assumptions!$B$76*(1+Assumptions!$B$8)^(Assumptions!$F$6-1)</f>
        <v/>
      </c>
      <c r="G30" s="18">
        <f>G20*Assumptions!$B$76*(1+Assumptions!$B$8)^(Assumptions!$G$6-1)</f>
        <v/>
      </c>
      <c r="H30" s="18">
        <f>H20*Assumptions!$B$76*(1+Assumptions!$B$8)^(Assumptions!$H$6-1)</f>
        <v/>
      </c>
    </row>
    <row r="31">
      <c r="A31" s="5" t="inlineStr">
        <is>
          <t>Account executives (US)</t>
        </is>
      </c>
      <c r="B31" s="18">
        <f>B21*Assumptions!$B$80*(1+Assumptions!$B$8)^(Assumptions!$B$6-1)</f>
        <v/>
      </c>
      <c r="C31" s="18">
        <f>C21*Assumptions!$B$80*(1+Assumptions!$B$8)^(Assumptions!$C$6-1)</f>
        <v/>
      </c>
      <c r="D31" s="18">
        <f>D21*Assumptions!$B$80*(1+Assumptions!$B$8)^(Assumptions!$D$6-1)</f>
        <v/>
      </c>
      <c r="E31" s="18">
        <f>E21*Assumptions!$B$80*(1+Assumptions!$B$8)^(Assumptions!$E$6-1)</f>
        <v/>
      </c>
      <c r="F31" s="18">
        <f>F21*Assumptions!$B$80*(1+Assumptions!$B$8)^(Assumptions!$F$6-1)</f>
        <v/>
      </c>
      <c r="G31" s="18">
        <f>G21*Assumptions!$B$80*(1+Assumptions!$B$8)^(Assumptions!$G$6-1)</f>
        <v/>
      </c>
      <c r="H31" s="18">
        <f>H21*Assumptions!$B$80*(1+Assumptions!$B$8)^(Assumptions!$H$6-1)</f>
        <v/>
      </c>
    </row>
    <row r="32">
      <c r="A32" s="5" t="inlineStr">
        <is>
          <t>Sales engineer (US)</t>
        </is>
      </c>
      <c r="B32" s="18">
        <f>B22*Assumptions!$B$84*(1+Assumptions!$B$8)^(Assumptions!$B$6-1)</f>
        <v/>
      </c>
      <c r="C32" s="18">
        <f>C22*Assumptions!$B$84*(1+Assumptions!$B$8)^(Assumptions!$C$6-1)</f>
        <v/>
      </c>
      <c r="D32" s="18">
        <f>D22*Assumptions!$B$84*(1+Assumptions!$B$8)^(Assumptions!$D$6-1)</f>
        <v/>
      </c>
      <c r="E32" s="18">
        <f>E22*Assumptions!$B$84*(1+Assumptions!$B$8)^(Assumptions!$E$6-1)</f>
        <v/>
      </c>
      <c r="F32" s="18">
        <f>F22*Assumptions!$B$84*(1+Assumptions!$B$8)^(Assumptions!$F$6-1)</f>
        <v/>
      </c>
      <c r="G32" s="18">
        <f>G22*Assumptions!$B$84*(1+Assumptions!$B$8)^(Assumptions!$G$6-1)</f>
        <v/>
      </c>
      <c r="H32" s="18">
        <f>H22*Assumptions!$B$84*(1+Assumptions!$B$8)^(Assumptions!$H$6-1)</f>
        <v/>
      </c>
    </row>
    <row r="33">
      <c r="A33" s="5" t="inlineStr">
        <is>
          <t>Claims analysts / customer success (US)</t>
        </is>
      </c>
      <c r="B33" s="18">
        <f>B23*Assumptions!$B$88*(1+Assumptions!$B$8)^(Assumptions!$B$6-1)</f>
        <v/>
      </c>
      <c r="C33" s="18">
        <f>C23*Assumptions!$B$88*(1+Assumptions!$B$8)^(Assumptions!$C$6-1)</f>
        <v/>
      </c>
      <c r="D33" s="18">
        <f>D23*Assumptions!$B$88*(1+Assumptions!$B$8)^(Assumptions!$D$6-1)</f>
        <v/>
      </c>
      <c r="E33" s="18">
        <f>E23*Assumptions!$B$88*(1+Assumptions!$B$8)^(Assumptions!$E$6-1)</f>
        <v/>
      </c>
      <c r="F33" s="18">
        <f>F23*Assumptions!$B$88*(1+Assumptions!$B$8)^(Assumptions!$F$6-1)</f>
        <v/>
      </c>
      <c r="G33" s="18">
        <f>G23*Assumptions!$B$88*(1+Assumptions!$B$8)^(Assumptions!$G$6-1)</f>
        <v/>
      </c>
      <c r="H33" s="18">
        <f>H23*Assumptions!$B$88*(1+Assumptions!$B$8)^(Assumptions!$H$6-1)</f>
        <v/>
      </c>
    </row>
    <row r="34">
      <c r="A34" s="5" t="inlineStr">
        <is>
          <t>Marketing (US)</t>
        </is>
      </c>
      <c r="B34" s="18">
        <f>B24*Assumptions!$B$92*(1+Assumptions!$B$8)^(Assumptions!$B$6-1)</f>
        <v/>
      </c>
      <c r="C34" s="18">
        <f>C24*Assumptions!$B$92*(1+Assumptions!$B$8)^(Assumptions!$C$6-1)</f>
        <v/>
      </c>
      <c r="D34" s="18">
        <f>D24*Assumptions!$B$92*(1+Assumptions!$B$8)^(Assumptions!$D$6-1)</f>
        <v/>
      </c>
      <c r="E34" s="18">
        <f>E24*Assumptions!$B$92*(1+Assumptions!$B$8)^(Assumptions!$E$6-1)</f>
        <v/>
      </c>
      <c r="F34" s="18">
        <f>F24*Assumptions!$B$92*(1+Assumptions!$B$8)^(Assumptions!$F$6-1)</f>
        <v/>
      </c>
      <c r="G34" s="18">
        <f>G24*Assumptions!$B$92*(1+Assumptions!$B$8)^(Assumptions!$G$6-1)</f>
        <v/>
      </c>
      <c r="H34" s="18">
        <f>H24*Assumptions!$B$92*(1+Assumptions!$B$8)^(Assumptions!$H$6-1)</f>
        <v/>
      </c>
    </row>
    <row r="35">
      <c r="A35" s="5" t="inlineStr">
        <is>
          <t>Finance, legal operations, people</t>
        </is>
      </c>
      <c r="B35" s="18">
        <f>B25*Assumptions!$B$96*(1+Assumptions!$B$8)^(Assumptions!$B$6-1)</f>
        <v/>
      </c>
      <c r="C35" s="18">
        <f>C25*Assumptions!$B$96*(1+Assumptions!$B$8)^(Assumptions!$C$6-1)</f>
        <v/>
      </c>
      <c r="D35" s="18">
        <f>D25*Assumptions!$B$96*(1+Assumptions!$B$8)^(Assumptions!$D$6-1)</f>
        <v/>
      </c>
      <c r="E35" s="18">
        <f>E25*Assumptions!$B$96*(1+Assumptions!$B$8)^(Assumptions!$E$6-1)</f>
        <v/>
      </c>
      <c r="F35" s="18">
        <f>F25*Assumptions!$B$96*(1+Assumptions!$B$8)^(Assumptions!$F$6-1)</f>
        <v/>
      </c>
      <c r="G35" s="18">
        <f>G25*Assumptions!$B$96*(1+Assumptions!$B$8)^(Assumptions!$G$6-1)</f>
        <v/>
      </c>
      <c r="H35" s="18">
        <f>H25*Assumptions!$B$96*(1+Assumptions!$B$8)^(Assumptions!$H$6-1)</f>
        <v/>
      </c>
    </row>
    <row r="36">
      <c r="A36" s="17" t="inlineStr">
        <is>
          <t>Total people cost</t>
        </is>
      </c>
      <c r="B36" s="18">
        <f>SUM(B27:B35)</f>
        <v/>
      </c>
      <c r="C36" s="18">
        <f>SUM(C27:C35)</f>
        <v/>
      </c>
      <c r="D36" s="18">
        <f>SUM(D27:D35)</f>
        <v/>
      </c>
      <c r="E36" s="18">
        <f>SUM(E27:E35)</f>
        <v/>
      </c>
      <c r="F36" s="18">
        <f>SUM(F27:F35)</f>
        <v/>
      </c>
      <c r="G36" s="18">
        <f>SUM(G27:G35)</f>
        <v/>
      </c>
      <c r="H36" s="18">
        <f>SUM(H27:H35)</f>
        <v/>
      </c>
    </row>
    <row r="37">
      <c r="A37" s="3" t="inlineStr">
        <is>
          <t>People cost by department ($K)</t>
        </is>
      </c>
      <c r="B37" s="4" t="n"/>
      <c r="C37" s="4" t="n"/>
      <c r="D37" s="4" t="n"/>
      <c r="E37" s="4" t="n"/>
      <c r="F37" s="4" t="n"/>
      <c r="G37" s="4" t="n"/>
      <c r="H37" s="4" t="n"/>
      <c r="I37" s="4" t="n"/>
      <c r="J37" s="4" t="n"/>
    </row>
    <row r="38">
      <c r="A38" s="5" t="inlineStr">
        <is>
          <t>Engineering</t>
        </is>
      </c>
      <c r="B38" s="18">
        <f>B28+B29</f>
        <v/>
      </c>
      <c r="C38" s="18">
        <f>C28+C29</f>
        <v/>
      </c>
      <c r="D38" s="18">
        <f>D28+D29</f>
        <v/>
      </c>
      <c r="E38" s="18">
        <f>E28+E29</f>
        <v/>
      </c>
      <c r="F38" s="18">
        <f>F28+F29</f>
        <v/>
      </c>
      <c r="G38" s="18">
        <f>G28+G29</f>
        <v/>
      </c>
      <c r="H38" s="18">
        <f>H28+H29</f>
        <v/>
      </c>
    </row>
    <row r="39">
      <c r="A39" s="5" t="inlineStr">
        <is>
          <t>Security</t>
        </is>
      </c>
      <c r="B39" s="18">
        <f>B30</f>
        <v/>
      </c>
      <c r="C39" s="18">
        <f>C30</f>
        <v/>
      </c>
      <c r="D39" s="18">
        <f>D30</f>
        <v/>
      </c>
      <c r="E39" s="18">
        <f>E30</f>
        <v/>
      </c>
      <c r="F39" s="18">
        <f>F30</f>
        <v/>
      </c>
      <c r="G39" s="18">
        <f>G30</f>
        <v/>
      </c>
      <c r="H39" s="18">
        <f>H30</f>
        <v/>
      </c>
    </row>
    <row r="40">
      <c r="A40" s="5" t="inlineStr">
        <is>
          <t>Sales</t>
        </is>
      </c>
      <c r="B40" s="18">
        <f>B31+B32</f>
        <v/>
      </c>
      <c r="C40" s="18">
        <f>C31+C32</f>
        <v/>
      </c>
      <c r="D40" s="18">
        <f>D31+D32</f>
        <v/>
      </c>
      <c r="E40" s="18">
        <f>E31+E32</f>
        <v/>
      </c>
      <c r="F40" s="18">
        <f>F31+F32</f>
        <v/>
      </c>
      <c r="G40" s="18">
        <f>G31+G32</f>
        <v/>
      </c>
      <c r="H40" s="18">
        <f>H31+H32</f>
        <v/>
      </c>
    </row>
    <row r="41">
      <c r="A41" s="5" t="inlineStr">
        <is>
          <t>Marketing</t>
        </is>
      </c>
      <c r="B41" s="18">
        <f>B34</f>
        <v/>
      </c>
      <c r="C41" s="18">
        <f>C34</f>
        <v/>
      </c>
      <c r="D41" s="18">
        <f>D34</f>
        <v/>
      </c>
      <c r="E41" s="18">
        <f>E34</f>
        <v/>
      </c>
      <c r="F41" s="18">
        <f>F34</f>
        <v/>
      </c>
      <c r="G41" s="18">
        <f>G34</f>
        <v/>
      </c>
      <c r="H41" s="18">
        <f>H34</f>
        <v/>
      </c>
    </row>
    <row r="42">
      <c r="A42" s="5" t="inlineStr">
        <is>
          <t>G&amp;A</t>
        </is>
      </c>
      <c r="B42" s="18">
        <f>B27+B35</f>
        <v/>
      </c>
      <c r="C42" s="18">
        <f>C27+C35</f>
        <v/>
      </c>
      <c r="D42" s="18">
        <f>D27+D35</f>
        <v/>
      </c>
      <c r="E42" s="18">
        <f>E27+E35</f>
        <v/>
      </c>
      <c r="F42" s="18">
        <f>F27+F35</f>
        <v/>
      </c>
      <c r="G42" s="18">
        <f>G27+G35</f>
        <v/>
      </c>
      <c r="H42" s="18">
        <f>H27+H35</f>
        <v/>
      </c>
    </row>
    <row r="43">
      <c r="A43" s="5" t="inlineStr">
        <is>
          <t>Claims operations (COGS)</t>
        </is>
      </c>
      <c r="B43" s="18">
        <f>B33</f>
        <v/>
      </c>
      <c r="C43" s="18">
        <f>C33</f>
        <v/>
      </c>
      <c r="D43" s="18">
        <f>D33</f>
        <v/>
      </c>
      <c r="E43" s="18">
        <f>E33</f>
        <v/>
      </c>
      <c r="F43" s="18">
        <f>F33</f>
        <v/>
      </c>
      <c r="G43" s="18">
        <f>G33</f>
        <v/>
      </c>
      <c r="H43" s="18">
        <f>H33</f>
        <v/>
      </c>
    </row>
    <row r="44">
      <c r="A44" s="3" t="inlineStr">
        <is>
          <t>Headcount by department at year end</t>
        </is>
      </c>
      <c r="B44" s="4" t="n"/>
      <c r="C44" s="4" t="n"/>
      <c r="D44" s="4" t="n"/>
      <c r="E44" s="4" t="n"/>
      <c r="F44" s="4" t="n"/>
      <c r="G44" s="4" t="n"/>
      <c r="H44" s="4" t="n"/>
      <c r="I44" s="4" t="n"/>
      <c r="J44" s="4" t="n"/>
    </row>
    <row r="45">
      <c r="A45" s="5" t="inlineStr">
        <is>
          <t>Engineering</t>
        </is>
      </c>
      <c r="B45" s="14">
        <f>B6+B7</f>
        <v/>
      </c>
      <c r="C45" s="14">
        <f>C6+C7</f>
        <v/>
      </c>
      <c r="D45" s="14">
        <f>D6+D7</f>
        <v/>
      </c>
      <c r="E45" s="14">
        <f>E6+E7</f>
        <v/>
      </c>
      <c r="F45" s="14">
        <f>F6+F7</f>
        <v/>
      </c>
      <c r="G45" s="14">
        <f>G6+G7</f>
        <v/>
      </c>
      <c r="H45" s="14">
        <f>H6+H7</f>
        <v/>
      </c>
    </row>
    <row r="46">
      <c r="A46" s="5" t="inlineStr">
        <is>
          <t>Security</t>
        </is>
      </c>
      <c r="B46" s="14">
        <f>B8</f>
        <v/>
      </c>
      <c r="C46" s="14">
        <f>C8</f>
        <v/>
      </c>
      <c r="D46" s="14">
        <f>D8</f>
        <v/>
      </c>
      <c r="E46" s="14">
        <f>E8</f>
        <v/>
      </c>
      <c r="F46" s="14">
        <f>F8</f>
        <v/>
      </c>
      <c r="G46" s="14">
        <f>G8</f>
        <v/>
      </c>
      <c r="H46" s="14">
        <f>H8</f>
        <v/>
      </c>
    </row>
    <row r="47">
      <c r="A47" s="5" t="inlineStr">
        <is>
          <t>Sales</t>
        </is>
      </c>
      <c r="B47" s="14">
        <f>B9+B10</f>
        <v/>
      </c>
      <c r="C47" s="14">
        <f>C9+C10</f>
        <v/>
      </c>
      <c r="D47" s="14">
        <f>D9+D10</f>
        <v/>
      </c>
      <c r="E47" s="14">
        <f>E9+E10</f>
        <v/>
      </c>
      <c r="F47" s="14">
        <f>F9+F10</f>
        <v/>
      </c>
      <c r="G47" s="14">
        <f>G9+G10</f>
        <v/>
      </c>
      <c r="H47" s="14">
        <f>H9+H10</f>
        <v/>
      </c>
    </row>
    <row r="48">
      <c r="A48" s="5" t="inlineStr">
        <is>
          <t>Marketing</t>
        </is>
      </c>
      <c r="B48" s="14">
        <f>B12</f>
        <v/>
      </c>
      <c r="C48" s="14">
        <f>C12</f>
        <v/>
      </c>
      <c r="D48" s="14">
        <f>D12</f>
        <v/>
      </c>
      <c r="E48" s="14">
        <f>E12</f>
        <v/>
      </c>
      <c r="F48" s="14">
        <f>F12</f>
        <v/>
      </c>
      <c r="G48" s="14">
        <f>G12</f>
        <v/>
      </c>
      <c r="H48" s="14">
        <f>H12</f>
        <v/>
      </c>
    </row>
    <row r="49">
      <c r="A49" s="5" t="inlineStr">
        <is>
          <t>G&amp;A</t>
        </is>
      </c>
      <c r="B49" s="14">
        <f>B5+B13</f>
        <v/>
      </c>
      <c r="C49" s="14">
        <f>C5+C13</f>
        <v/>
      </c>
      <c r="D49" s="14">
        <f>D5+D13</f>
        <v/>
      </c>
      <c r="E49" s="14">
        <f>E5+E13</f>
        <v/>
      </c>
      <c r="F49" s="14">
        <f>F5+F13</f>
        <v/>
      </c>
      <c r="G49" s="14">
        <f>G5+G13</f>
        <v/>
      </c>
      <c r="H49" s="14">
        <f>H5+H13</f>
        <v/>
      </c>
    </row>
    <row r="50">
      <c r="A50" s="5" t="inlineStr">
        <is>
          <t>Claims operations (COGS)</t>
        </is>
      </c>
      <c r="B50" s="14">
        <f>B11</f>
        <v/>
      </c>
      <c r="C50" s="14">
        <f>C11</f>
        <v/>
      </c>
      <c r="D50" s="14">
        <f>D11</f>
        <v/>
      </c>
      <c r="E50" s="14">
        <f>E11</f>
        <v/>
      </c>
      <c r="F50" s="14">
        <f>F11</f>
        <v/>
      </c>
      <c r="G50" s="14">
        <f>G11</f>
        <v/>
      </c>
      <c r="H50" s="14">
        <f>H11</f>
        <v/>
      </c>
    </row>
    <row r="51">
      <c r="A51" s="5" t="inlineStr">
        <is>
          <t>Equipment capex = net new hires x capex per hire ($K)</t>
        </is>
      </c>
      <c r="B51" s="18">
        <f>B15*Assumptions!$B$15</f>
        <v/>
      </c>
      <c r="C51" s="18">
        <f>C15*Assumptions!$B$15</f>
        <v/>
      </c>
      <c r="D51" s="18">
        <f>D15*Assumptions!$B$15</f>
        <v/>
      </c>
      <c r="E51" s="18">
        <f>E15*Assumptions!$B$15</f>
        <v/>
      </c>
      <c r="F51" s="18">
        <f>F15*Assumptions!$B$15</f>
        <v/>
      </c>
      <c r="G51" s="18">
        <f>G15*Assumptions!$B$15</f>
        <v/>
      </c>
      <c r="H51" s="18">
        <f>H15*Assumptions!$B$15</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5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4" customWidth="1" min="1" max="1"/>
    <col width="12" customWidth="1" min="2" max="2"/>
    <col width="12" customWidth="1" min="3" max="3"/>
    <col width="12" customWidth="1" min="4" max="4"/>
    <col width="12" customWidth="1" min="5" max="5"/>
    <col width="12" customWidth="1" min="6" max="6"/>
    <col width="12" customWidth="1" min="7" max="7"/>
    <col width="12" customWidth="1" min="8" max="8"/>
  </cols>
  <sheetData>
    <row r="1">
      <c r="A1" s="1" t="inlineStr">
        <is>
          <t>Operating costs (active scenario)</t>
        </is>
      </c>
    </row>
    <row r="2">
      <c r="A2" t="inlineStr">
        <is>
          <t>Other costs = base plan (year 1) and base plan x scale (year 2 on), held at prior year from the freeze year. Departments combine people cost and programme spend.</t>
        </is>
      </c>
    </row>
    <row r="3">
      <c r="A3" s="2" t="inlineStr">
        <is>
          <t>$K unless stated</t>
        </is>
      </c>
      <c r="B3" s="2">
        <f>"Y"&amp;Assumptions!$B$6</f>
        <v/>
      </c>
      <c r="C3" s="2">
        <f>"Y"&amp;Assumptions!$C$6</f>
        <v/>
      </c>
      <c r="D3" s="2">
        <f>"Y"&amp;Assumptions!$D$6</f>
        <v/>
      </c>
      <c r="E3" s="2">
        <f>"Y"&amp;Assumptions!$E$6</f>
        <v/>
      </c>
      <c r="F3" s="2">
        <f>"Y"&amp;Assumptions!$F$6</f>
        <v/>
      </c>
      <c r="G3" s="2">
        <f>"Y"&amp;Assumptions!$G$6</f>
        <v/>
      </c>
      <c r="H3" s="2">
        <f>"Y"&amp;Assumptions!$H$6</f>
        <v/>
      </c>
    </row>
    <row r="4">
      <c r="A4" s="3" t="inlineStr">
        <is>
          <t>Other operating costs ($K)</t>
        </is>
      </c>
      <c r="B4" s="4" t="n"/>
      <c r="C4" s="4" t="n"/>
      <c r="D4" s="4" t="n"/>
      <c r="E4" s="4" t="n"/>
      <c r="F4" s="4" t="n"/>
      <c r="G4" s="4" t="n"/>
      <c r="H4" s="4" t="n"/>
      <c r="I4" s="4" t="n"/>
      <c r="J4" s="4" t="n"/>
    </row>
    <row r="5">
      <c r="A5" s="5" t="inlineStr">
        <is>
          <t>Cloud hosting, data feeds and tooling [COGS]</t>
        </is>
      </c>
      <c r="B5" s="18">
        <f>Assumptions!$B$98</f>
        <v/>
      </c>
      <c r="C5" s="18">
        <f>IF(AND(Assumptions!$E$48&gt;0,Assumptions!$C$6&gt;=Assumptions!$E$48,Assumptions!$C$6&lt;Assumptions!$E$48+Assumptions!$E$49),B5,Assumptions!$C$98*Assumptions!$E$47)</f>
        <v/>
      </c>
      <c r="D5" s="18">
        <f>IF(AND(Assumptions!$E$48&gt;0,Assumptions!$D$6&gt;=Assumptions!$E$48,Assumptions!$D$6&lt;Assumptions!$E$48+Assumptions!$E$49),C5,Assumptions!$D$98*Assumptions!$E$47)</f>
        <v/>
      </c>
      <c r="E5" s="18">
        <f>IF(AND(Assumptions!$E$48&gt;0,Assumptions!$E$6&gt;=Assumptions!$E$48,Assumptions!$E$6&lt;Assumptions!$E$48+Assumptions!$E$49),D5,Assumptions!$E$98*Assumptions!$E$47)</f>
        <v/>
      </c>
      <c r="F5" s="18">
        <f>IF(AND(Assumptions!$E$48&gt;0,Assumptions!$F$6&gt;=Assumptions!$E$48,Assumptions!$F$6&lt;Assumptions!$E$48+Assumptions!$E$49),E5,Assumptions!$F$98*Assumptions!$E$47)</f>
        <v/>
      </c>
      <c r="G5" s="18">
        <f>IF(AND(Assumptions!$E$48&gt;0,Assumptions!$G$6&gt;=Assumptions!$E$48,Assumptions!$G$6&lt;Assumptions!$E$48+Assumptions!$E$49),F5,Assumptions!$G$98*Assumptions!$E$47)</f>
        <v/>
      </c>
      <c r="H5" s="18">
        <f>IF(AND(Assumptions!$E$48&gt;0,Assumptions!$H$6&gt;=Assumptions!$E$48,Assumptions!$H$6&lt;Assumptions!$E$48+Assumptions!$E$49),G5,Assumptions!$H$98*Assumptions!$E$47)</f>
        <v/>
      </c>
    </row>
    <row r="6">
      <c r="A6" s="5" t="inlineStr">
        <is>
          <t>Security programme (SOC 2, pen tests, tooling, insurance) [Security]</t>
        </is>
      </c>
      <c r="B6" s="18">
        <f>Assumptions!$B$99</f>
        <v/>
      </c>
      <c r="C6" s="18">
        <f>IF(AND(Assumptions!$E$48&gt;0,Assumptions!$C$6&gt;=Assumptions!$E$48,Assumptions!$C$6&lt;Assumptions!$E$48+Assumptions!$E$49),B6,Assumptions!$C$99*Assumptions!$E$47)</f>
        <v/>
      </c>
      <c r="D6" s="18">
        <f>IF(AND(Assumptions!$E$48&gt;0,Assumptions!$D$6&gt;=Assumptions!$E$48,Assumptions!$D$6&lt;Assumptions!$E$48+Assumptions!$E$49),C6,Assumptions!$D$99*Assumptions!$E$47)</f>
        <v/>
      </c>
      <c r="E6" s="18">
        <f>IF(AND(Assumptions!$E$48&gt;0,Assumptions!$E$6&gt;=Assumptions!$E$48,Assumptions!$E$6&lt;Assumptions!$E$48+Assumptions!$E$49),D6,Assumptions!$E$99*Assumptions!$E$47)</f>
        <v/>
      </c>
      <c r="F6" s="18">
        <f>IF(AND(Assumptions!$E$48&gt;0,Assumptions!$F$6&gt;=Assumptions!$E$48,Assumptions!$F$6&lt;Assumptions!$E$48+Assumptions!$E$49),E6,Assumptions!$F$99*Assumptions!$E$47)</f>
        <v/>
      </c>
      <c r="G6" s="18">
        <f>IF(AND(Assumptions!$E$48&gt;0,Assumptions!$G$6&gt;=Assumptions!$E$48,Assumptions!$G$6&lt;Assumptions!$E$48+Assumptions!$E$49),F6,Assumptions!$G$99*Assumptions!$E$47)</f>
        <v/>
      </c>
      <c r="H6" s="18">
        <f>IF(AND(Assumptions!$E$48&gt;0,Assumptions!$H$6&gt;=Assumptions!$E$48,Assumptions!$H$6&lt;Assumptions!$E$48+Assumptions!$E$49),G6,Assumptions!$H$99*Assumptions!$E$47)</f>
        <v/>
      </c>
    </row>
    <row r="7">
      <c r="A7" s="5" t="inlineStr">
        <is>
          <t>Legal and regulatory [G&amp;A]</t>
        </is>
      </c>
      <c r="B7" s="18">
        <f>Assumptions!$B$100</f>
        <v/>
      </c>
      <c r="C7" s="18">
        <f>IF(AND(Assumptions!$E$48&gt;0,Assumptions!$C$6&gt;=Assumptions!$E$48,Assumptions!$C$6&lt;Assumptions!$E$48+Assumptions!$E$49),B7,Assumptions!$C$100*Assumptions!$E$47)</f>
        <v/>
      </c>
      <c r="D7" s="18">
        <f>IF(AND(Assumptions!$E$48&gt;0,Assumptions!$D$6&gt;=Assumptions!$E$48,Assumptions!$D$6&lt;Assumptions!$E$48+Assumptions!$E$49),C7,Assumptions!$D$100*Assumptions!$E$47)</f>
        <v/>
      </c>
      <c r="E7" s="18">
        <f>IF(AND(Assumptions!$E$48&gt;0,Assumptions!$E$6&gt;=Assumptions!$E$48,Assumptions!$E$6&lt;Assumptions!$E$48+Assumptions!$E$49),D7,Assumptions!$E$100*Assumptions!$E$47)</f>
        <v/>
      </c>
      <c r="F7" s="18">
        <f>IF(AND(Assumptions!$E$48&gt;0,Assumptions!$F$6&gt;=Assumptions!$E$48,Assumptions!$F$6&lt;Assumptions!$E$48+Assumptions!$E$49),E7,Assumptions!$F$100*Assumptions!$E$47)</f>
        <v/>
      </c>
      <c r="G7" s="18">
        <f>IF(AND(Assumptions!$E$48&gt;0,Assumptions!$G$6&gt;=Assumptions!$E$48,Assumptions!$G$6&lt;Assumptions!$E$48+Assumptions!$E$49),F7,Assumptions!$G$100*Assumptions!$E$47)</f>
        <v/>
      </c>
      <c r="H7" s="18">
        <f>IF(AND(Assumptions!$E$48&gt;0,Assumptions!$H$6&gt;=Assumptions!$E$48,Assumptions!$H$6&lt;Assumptions!$E$48+Assumptions!$E$49),G7,Assumptions!$H$100*Assumptions!$E$47)</f>
        <v/>
      </c>
    </row>
    <row r="8">
      <c r="A8" s="5" t="inlineStr">
        <is>
          <t>Marketing programmes and events [Marketing]</t>
        </is>
      </c>
      <c r="B8" s="18">
        <f>Assumptions!$B$101</f>
        <v/>
      </c>
      <c r="C8" s="18">
        <f>IF(AND(Assumptions!$E$48&gt;0,Assumptions!$C$6&gt;=Assumptions!$E$48,Assumptions!$C$6&lt;Assumptions!$E$48+Assumptions!$E$49),B8,Assumptions!$C$101*Assumptions!$E$47)</f>
        <v/>
      </c>
      <c r="D8" s="18">
        <f>IF(AND(Assumptions!$E$48&gt;0,Assumptions!$D$6&gt;=Assumptions!$E$48,Assumptions!$D$6&lt;Assumptions!$E$48+Assumptions!$E$49),C8,Assumptions!$D$101*Assumptions!$E$47)</f>
        <v/>
      </c>
      <c r="E8" s="18">
        <f>IF(AND(Assumptions!$E$48&gt;0,Assumptions!$E$6&gt;=Assumptions!$E$48,Assumptions!$E$6&lt;Assumptions!$E$48+Assumptions!$E$49),D8,Assumptions!$E$101*Assumptions!$E$47)</f>
        <v/>
      </c>
      <c r="F8" s="18">
        <f>IF(AND(Assumptions!$E$48&gt;0,Assumptions!$F$6&gt;=Assumptions!$E$48,Assumptions!$F$6&lt;Assumptions!$E$48+Assumptions!$E$49),E8,Assumptions!$F$101*Assumptions!$E$47)</f>
        <v/>
      </c>
      <c r="G8" s="18">
        <f>IF(AND(Assumptions!$E$48&gt;0,Assumptions!$G$6&gt;=Assumptions!$E$48,Assumptions!$G$6&lt;Assumptions!$E$48+Assumptions!$E$49),F8,Assumptions!$G$101*Assumptions!$E$47)</f>
        <v/>
      </c>
      <c r="H8" s="18">
        <f>IF(AND(Assumptions!$E$48&gt;0,Assumptions!$H$6&gt;=Assumptions!$E$48,Assumptions!$H$6&lt;Assumptions!$E$48+Assumptions!$E$49),G8,Assumptions!$H$101*Assumptions!$E$47)</f>
        <v/>
      </c>
    </row>
    <row r="9">
      <c r="A9" s="5" t="inlineStr">
        <is>
          <t>Travel and customer visits [Sales]</t>
        </is>
      </c>
      <c r="B9" s="18">
        <f>Assumptions!$B$102</f>
        <v/>
      </c>
      <c r="C9" s="18">
        <f>IF(AND(Assumptions!$E$48&gt;0,Assumptions!$C$6&gt;=Assumptions!$E$48,Assumptions!$C$6&lt;Assumptions!$E$48+Assumptions!$E$49),B9,Assumptions!$C$102*Assumptions!$E$47)</f>
        <v/>
      </c>
      <c r="D9" s="18">
        <f>IF(AND(Assumptions!$E$48&gt;0,Assumptions!$D$6&gt;=Assumptions!$E$48,Assumptions!$D$6&lt;Assumptions!$E$48+Assumptions!$E$49),C9,Assumptions!$D$102*Assumptions!$E$47)</f>
        <v/>
      </c>
      <c r="E9" s="18">
        <f>IF(AND(Assumptions!$E$48&gt;0,Assumptions!$E$6&gt;=Assumptions!$E$48,Assumptions!$E$6&lt;Assumptions!$E$48+Assumptions!$E$49),D9,Assumptions!$E$102*Assumptions!$E$47)</f>
        <v/>
      </c>
      <c r="F9" s="18">
        <f>IF(AND(Assumptions!$E$48&gt;0,Assumptions!$F$6&gt;=Assumptions!$E$48,Assumptions!$F$6&lt;Assumptions!$E$48+Assumptions!$E$49),E9,Assumptions!$F$102*Assumptions!$E$47)</f>
        <v/>
      </c>
      <c r="G9" s="18">
        <f>IF(AND(Assumptions!$E$48&gt;0,Assumptions!$G$6&gt;=Assumptions!$E$48,Assumptions!$G$6&lt;Assumptions!$E$48+Assumptions!$E$49),F9,Assumptions!$G$102*Assumptions!$E$47)</f>
        <v/>
      </c>
      <c r="H9" s="18">
        <f>IF(AND(Assumptions!$E$48&gt;0,Assumptions!$H$6&gt;=Assumptions!$E$48,Assumptions!$H$6&lt;Assumptions!$E$48+Assumptions!$E$49),G9,Assumptions!$H$102*Assumptions!$E$47)</f>
        <v/>
      </c>
    </row>
    <row r="10">
      <c r="A10" s="5" t="inlineStr">
        <is>
          <t>Office, software, admin, accounting [G&amp;A]</t>
        </is>
      </c>
      <c r="B10" s="18">
        <f>Assumptions!$B$103</f>
        <v/>
      </c>
      <c r="C10" s="18">
        <f>IF(AND(Assumptions!$E$48&gt;0,Assumptions!$C$6&gt;=Assumptions!$E$48,Assumptions!$C$6&lt;Assumptions!$E$48+Assumptions!$E$49),B10,Assumptions!$C$103*Assumptions!$E$47)</f>
        <v/>
      </c>
      <c r="D10" s="18">
        <f>IF(AND(Assumptions!$E$48&gt;0,Assumptions!$D$6&gt;=Assumptions!$E$48,Assumptions!$D$6&lt;Assumptions!$E$48+Assumptions!$E$49),C10,Assumptions!$D$103*Assumptions!$E$47)</f>
        <v/>
      </c>
      <c r="E10" s="18">
        <f>IF(AND(Assumptions!$E$48&gt;0,Assumptions!$E$6&gt;=Assumptions!$E$48,Assumptions!$E$6&lt;Assumptions!$E$48+Assumptions!$E$49),D10,Assumptions!$E$103*Assumptions!$E$47)</f>
        <v/>
      </c>
      <c r="F10" s="18">
        <f>IF(AND(Assumptions!$E$48&gt;0,Assumptions!$F$6&gt;=Assumptions!$E$48,Assumptions!$F$6&lt;Assumptions!$E$48+Assumptions!$E$49),E10,Assumptions!$F$103*Assumptions!$E$47)</f>
        <v/>
      </c>
      <c r="G10" s="18">
        <f>IF(AND(Assumptions!$E$48&gt;0,Assumptions!$G$6&gt;=Assumptions!$E$48,Assumptions!$G$6&lt;Assumptions!$E$48+Assumptions!$E$49),F10,Assumptions!$G$103*Assumptions!$E$47)</f>
        <v/>
      </c>
      <c r="H10" s="18">
        <f>IF(AND(Assumptions!$E$48&gt;0,Assumptions!$H$6&gt;=Assumptions!$E$48,Assumptions!$H$6&lt;Assumptions!$E$48+Assumptions!$E$49),G10,Assumptions!$H$103*Assumptions!$E$47)</f>
        <v/>
      </c>
    </row>
    <row r="11">
      <c r="A11" s="5" t="inlineStr">
        <is>
          <t>Partner commission on carrier revenue [Sales]</t>
        </is>
      </c>
      <c r="B11" s="18">
        <f>Revenue!B24*Assumptions!$B$43</f>
        <v/>
      </c>
      <c r="C11" s="18">
        <f>Revenue!C24*Assumptions!$B$43</f>
        <v/>
      </c>
      <c r="D11" s="18">
        <f>Revenue!D24*Assumptions!$B$43</f>
        <v/>
      </c>
      <c r="E11" s="18">
        <f>Revenue!E24*Assumptions!$B$43</f>
        <v/>
      </c>
      <c r="F11" s="18">
        <f>Revenue!F24*Assumptions!$B$43</f>
        <v/>
      </c>
      <c r="G11" s="18">
        <f>Revenue!G24*Assumptions!$B$43</f>
        <v/>
      </c>
      <c r="H11" s="18">
        <f>Revenue!H24*Assumptions!$B$43</f>
        <v/>
      </c>
    </row>
    <row r="12">
      <c r="A12" s="3" t="inlineStr">
        <is>
          <t>Operating expense by department, excluding cost of revenue ($K)</t>
        </is>
      </c>
      <c r="B12" s="4" t="n"/>
      <c r="C12" s="4" t="n"/>
      <c r="D12" s="4" t="n"/>
      <c r="E12" s="4" t="n"/>
      <c r="F12" s="4" t="n"/>
      <c r="G12" s="4" t="n"/>
      <c r="H12" s="4" t="n"/>
      <c r="I12" s="4" t="n"/>
      <c r="J12" s="4" t="n"/>
    </row>
    <row r="13">
      <c r="A13" s="5" t="inlineStr">
        <is>
          <t>Engineering</t>
        </is>
      </c>
      <c r="B13" s="18">
        <f>Headcount!B38</f>
        <v/>
      </c>
      <c r="C13" s="18">
        <f>Headcount!C38</f>
        <v/>
      </c>
      <c r="D13" s="18">
        <f>Headcount!D38</f>
        <v/>
      </c>
      <c r="E13" s="18">
        <f>Headcount!E38</f>
        <v/>
      </c>
      <c r="F13" s="18">
        <f>Headcount!F38</f>
        <v/>
      </c>
      <c r="G13" s="18">
        <f>Headcount!G38</f>
        <v/>
      </c>
      <c r="H13" s="18">
        <f>Headcount!H38</f>
        <v/>
      </c>
    </row>
    <row r="14">
      <c r="A14" s="5" t="inlineStr">
        <is>
          <t>Security</t>
        </is>
      </c>
      <c r="B14" s="18">
        <f>Headcount!B39+B6</f>
        <v/>
      </c>
      <c r="C14" s="18">
        <f>Headcount!C39+C6</f>
        <v/>
      </c>
      <c r="D14" s="18">
        <f>Headcount!D39+D6</f>
        <v/>
      </c>
      <c r="E14" s="18">
        <f>Headcount!E39+E6</f>
        <v/>
      </c>
      <c r="F14" s="18">
        <f>Headcount!F39+F6</f>
        <v/>
      </c>
      <c r="G14" s="18">
        <f>Headcount!G39+G6</f>
        <v/>
      </c>
      <c r="H14" s="18">
        <f>Headcount!H39+H6</f>
        <v/>
      </c>
    </row>
    <row r="15">
      <c r="A15" s="5" t="inlineStr">
        <is>
          <t>Sales</t>
        </is>
      </c>
      <c r="B15" s="18">
        <f>Headcount!B40+B9+B11</f>
        <v/>
      </c>
      <c r="C15" s="18">
        <f>Headcount!C40+C9+C11</f>
        <v/>
      </c>
      <c r="D15" s="18">
        <f>Headcount!D40+D9+D11</f>
        <v/>
      </c>
      <c r="E15" s="18">
        <f>Headcount!E40+E9+E11</f>
        <v/>
      </c>
      <c r="F15" s="18">
        <f>Headcount!F40+F9+F11</f>
        <v/>
      </c>
      <c r="G15" s="18">
        <f>Headcount!G40+G9+G11</f>
        <v/>
      </c>
      <c r="H15" s="18">
        <f>Headcount!H40+H9+H11</f>
        <v/>
      </c>
    </row>
    <row r="16">
      <c r="A16" s="5" t="inlineStr">
        <is>
          <t>Marketing</t>
        </is>
      </c>
      <c r="B16" s="18">
        <f>Headcount!B41+B8</f>
        <v/>
      </c>
      <c r="C16" s="18">
        <f>Headcount!C41+C8</f>
        <v/>
      </c>
      <c r="D16" s="18">
        <f>Headcount!D41+D8</f>
        <v/>
      </c>
      <c r="E16" s="18">
        <f>Headcount!E41+E8</f>
        <v/>
      </c>
      <c r="F16" s="18">
        <f>Headcount!F41+F8</f>
        <v/>
      </c>
      <c r="G16" s="18">
        <f>Headcount!G41+G8</f>
        <v/>
      </c>
      <c r="H16" s="18">
        <f>Headcount!H41+H8</f>
        <v/>
      </c>
    </row>
    <row r="17">
      <c r="A17" s="5" t="inlineStr">
        <is>
          <t>G&amp;A</t>
        </is>
      </c>
      <c r="B17" s="18">
        <f>Headcount!B42+B7+B10</f>
        <v/>
      </c>
      <c r="C17" s="18">
        <f>Headcount!C42+C7+C10</f>
        <v/>
      </c>
      <c r="D17" s="18">
        <f>Headcount!D42+D7+D10</f>
        <v/>
      </c>
      <c r="E17" s="18">
        <f>Headcount!E42+E7+E10</f>
        <v/>
      </c>
      <c r="F17" s="18">
        <f>Headcount!F42+F7+F10</f>
        <v/>
      </c>
      <c r="G17" s="18">
        <f>Headcount!G42+G7+G10</f>
        <v/>
      </c>
      <c r="H17" s="18">
        <f>Headcount!H42+H7+H10</f>
        <v/>
      </c>
    </row>
    <row r="18">
      <c r="A18" s="17" t="inlineStr">
        <is>
          <t>Total operating expense</t>
        </is>
      </c>
      <c r="B18" s="18">
        <f>SUM(B13:B17)</f>
        <v/>
      </c>
      <c r="C18" s="18">
        <f>SUM(C13:C17)</f>
        <v/>
      </c>
      <c r="D18" s="18">
        <f>SUM(D13:D17)</f>
        <v/>
      </c>
      <c r="E18" s="18">
        <f>SUM(E13:E17)</f>
        <v/>
      </c>
      <c r="F18" s="18">
        <f>SUM(F13:F17)</f>
        <v/>
      </c>
      <c r="G18" s="18">
        <f>SUM(G13:G17)</f>
        <v/>
      </c>
      <c r="H18" s="18">
        <f>SUM(H13:H17)</f>
        <v/>
      </c>
    </row>
    <row r="19">
      <c r="A19" s="5" t="inlineStr">
        <is>
          <t>Sales and marketing (Sales + Marketing departments)</t>
        </is>
      </c>
      <c r="B19" s="18">
        <f>B15+B16</f>
        <v/>
      </c>
      <c r="C19" s="18">
        <f>C15+C16</f>
        <v/>
      </c>
      <c r="D19" s="18">
        <f>D15+D16</f>
        <v/>
      </c>
      <c r="E19" s="18">
        <f>E15+E16</f>
        <v/>
      </c>
      <c r="F19" s="18">
        <f>F15+F16</f>
        <v/>
      </c>
      <c r="G19" s="18">
        <f>G15+G16</f>
        <v/>
      </c>
      <c r="H19" s="18">
        <f>H15+H16</f>
        <v/>
      </c>
    </row>
    <row r="20">
      <c r="A20" s="3" t="inlineStr">
        <is>
          <t>Cost of revenue ($K)</t>
        </is>
      </c>
      <c r="B20" s="4" t="n"/>
      <c r="C20" s="4" t="n"/>
      <c r="D20" s="4" t="n"/>
      <c r="E20" s="4" t="n"/>
      <c r="F20" s="4" t="n"/>
      <c r="G20" s="4" t="n"/>
      <c r="H20" s="4" t="n"/>
      <c r="I20" s="4" t="n"/>
      <c r="J20" s="4" t="n"/>
    </row>
    <row r="21">
      <c r="A21" s="5" t="inlineStr">
        <is>
          <t>Claims operations people</t>
        </is>
      </c>
      <c r="B21" s="18">
        <f>Headcount!B43</f>
        <v/>
      </c>
      <c r="C21" s="18">
        <f>Headcount!C43</f>
        <v/>
      </c>
      <c r="D21" s="18">
        <f>Headcount!D43</f>
        <v/>
      </c>
      <c r="E21" s="18">
        <f>Headcount!E43</f>
        <v/>
      </c>
      <c r="F21" s="18">
        <f>Headcount!F43</f>
        <v/>
      </c>
      <c r="G21" s="18">
        <f>Headcount!G43</f>
        <v/>
      </c>
      <c r="H21" s="18">
        <f>Headcount!H43</f>
        <v/>
      </c>
    </row>
    <row r="22">
      <c r="A22" s="5" t="inlineStr">
        <is>
          <t>Hosting, data feeds and tooling</t>
        </is>
      </c>
      <c r="B22" s="18">
        <f>B5</f>
        <v/>
      </c>
      <c r="C22" s="18">
        <f>C5</f>
        <v/>
      </c>
      <c r="D22" s="18">
        <f>D5</f>
        <v/>
      </c>
      <c r="E22" s="18">
        <f>E5</f>
        <v/>
      </c>
      <c r="F22" s="18">
        <f>F5</f>
        <v/>
      </c>
      <c r="G22" s="18">
        <f>G5</f>
        <v/>
      </c>
      <c r="H22" s="18">
        <f>H5</f>
        <v/>
      </c>
    </row>
    <row r="23">
      <c r="A23" s="5" t="inlineStr">
        <is>
          <t>Variable cost = revenue x variable cost %</t>
        </is>
      </c>
      <c r="B23" s="18">
        <f>Revenue!B30*Assumptions!$E$50</f>
        <v/>
      </c>
      <c r="C23" s="18">
        <f>Revenue!C30*Assumptions!$E$50</f>
        <v/>
      </c>
      <c r="D23" s="18">
        <f>Revenue!D30*Assumptions!$E$50</f>
        <v/>
      </c>
      <c r="E23" s="18">
        <f>Revenue!E30*Assumptions!$E$50</f>
        <v/>
      </c>
      <c r="F23" s="18">
        <f>Revenue!F30*Assumptions!$E$50</f>
        <v/>
      </c>
      <c r="G23" s="18">
        <f>Revenue!G30*Assumptions!$E$50</f>
        <v/>
      </c>
      <c r="H23" s="18">
        <f>Revenue!H30*Assumptions!$E$50</f>
        <v/>
      </c>
    </row>
    <row r="24">
      <c r="A24" s="17" t="inlineStr">
        <is>
          <t>Total cost of revenue</t>
        </is>
      </c>
      <c r="B24" s="18">
        <f>B21+B22+B23</f>
        <v/>
      </c>
      <c r="C24" s="18">
        <f>C21+C22+C23</f>
        <v/>
      </c>
      <c r="D24" s="18">
        <f>D21+D22+D23</f>
        <v/>
      </c>
      <c r="E24" s="18">
        <f>E21+E22+E23</f>
        <v/>
      </c>
      <c r="F24" s="18">
        <f>F21+F22+F23</f>
        <v/>
      </c>
      <c r="G24" s="18">
        <f>G21+G22+G23</f>
        <v/>
      </c>
      <c r="H24" s="18">
        <f>H21+H22+H23</f>
        <v/>
      </c>
    </row>
    <row r="25"/>
    <row r="26">
      <c r="A26" s="3" t="inlineStr">
        <is>
          <t>Year-1 budget by department and quarter ($K). People cost starts in the hiring quarter; non-people costs are spread evenly.</t>
        </is>
      </c>
      <c r="B26" s="3" t="inlineStr">
        <is>
          <t>Q1</t>
        </is>
      </c>
      <c r="C26" s="3" t="inlineStr">
        <is>
          <t>Q2</t>
        </is>
      </c>
      <c r="D26" s="3" t="inlineStr">
        <is>
          <t>Q3</t>
        </is>
      </c>
      <c r="E26" s="3" t="inlineStr">
        <is>
          <t>Q4</t>
        </is>
      </c>
      <c r="F26" s="3" t="inlineStr">
        <is>
          <t>Year 1</t>
        </is>
      </c>
      <c r="G26" s="4" t="n"/>
      <c r="H26" s="4" t="n"/>
      <c r="I26" s="4" t="n"/>
      <c r="J26" s="4" t="n"/>
    </row>
    <row r="27">
      <c r="A27" s="5" t="inlineStr">
        <is>
          <t>Founder / CEO [G&amp;A]</t>
        </is>
      </c>
      <c r="B27" s="18">
        <f>Headcount!B5*IF(1&gt;=Assumptions!$B$63,1,0)*Assumptions!$B$64/4</f>
        <v/>
      </c>
      <c r="C27" s="18">
        <f>Headcount!B5*IF(2&gt;=Assumptions!$B$63,1,0)*Assumptions!$B$64/4</f>
        <v/>
      </c>
      <c r="D27" s="18">
        <f>Headcount!B5*IF(3&gt;=Assumptions!$B$63,1,0)*Assumptions!$B$64/4</f>
        <v/>
      </c>
      <c r="E27" s="18">
        <f>Headcount!B5*IF(4&gt;=Assumptions!$B$63,1,0)*Assumptions!$B$64/4</f>
        <v/>
      </c>
      <c r="F27" s="18">
        <f>SUM(B27:E27)</f>
        <v/>
      </c>
    </row>
    <row r="28">
      <c r="A28" s="5" t="inlineStr">
        <is>
          <t>Software engineers [Engineering]</t>
        </is>
      </c>
      <c r="B28" s="18">
        <f>Headcount!B6*IF(1&gt;=Assumptions!$B$67,1,0)*Assumptions!$B$68/4</f>
        <v/>
      </c>
      <c r="C28" s="18">
        <f>Headcount!B6*IF(2&gt;=Assumptions!$B$67,1,0)*Assumptions!$B$68/4</f>
        <v/>
      </c>
      <c r="D28" s="18">
        <f>Headcount!B6*IF(3&gt;=Assumptions!$B$67,1,0)*Assumptions!$B$68/4</f>
        <v/>
      </c>
      <c r="E28" s="18">
        <f>Headcount!B6*IF(4&gt;=Assumptions!$B$67,1,0)*Assumptions!$B$68/4</f>
        <v/>
      </c>
      <c r="F28" s="18">
        <f>SUM(B28:E28)</f>
        <v/>
      </c>
    </row>
    <row r="29">
      <c r="A29" s="5" t="inlineStr">
        <is>
          <t>ML / data engineers [Engineering]</t>
        </is>
      </c>
      <c r="B29" s="18">
        <f>Headcount!B7*IF(1&gt;=Assumptions!$B$71,1,0)*Assumptions!$B$72/4</f>
        <v/>
      </c>
      <c r="C29" s="18">
        <f>Headcount!B7*IF(2&gt;=Assumptions!$B$71,1,0)*Assumptions!$B$72/4</f>
        <v/>
      </c>
      <c r="D29" s="18">
        <f>Headcount!B7*IF(3&gt;=Assumptions!$B$71,1,0)*Assumptions!$B$72/4</f>
        <v/>
      </c>
      <c r="E29" s="18">
        <f>Headcount!B7*IF(4&gt;=Assumptions!$B$71,1,0)*Assumptions!$B$72/4</f>
        <v/>
      </c>
      <c r="F29" s="18">
        <f>SUM(B29:E29)</f>
        <v/>
      </c>
    </row>
    <row r="30">
      <c r="A30" s="5" t="inlineStr">
        <is>
          <t>Security engineer [Security]</t>
        </is>
      </c>
      <c r="B30" s="18">
        <f>Headcount!B8*IF(1&gt;=Assumptions!$B$75,1,0)*Assumptions!$B$76/4</f>
        <v/>
      </c>
      <c r="C30" s="18">
        <f>Headcount!B8*IF(2&gt;=Assumptions!$B$75,1,0)*Assumptions!$B$76/4</f>
        <v/>
      </c>
      <c r="D30" s="18">
        <f>Headcount!B8*IF(3&gt;=Assumptions!$B$75,1,0)*Assumptions!$B$76/4</f>
        <v/>
      </c>
      <c r="E30" s="18">
        <f>Headcount!B8*IF(4&gt;=Assumptions!$B$75,1,0)*Assumptions!$B$76/4</f>
        <v/>
      </c>
      <c r="F30" s="18">
        <f>SUM(B30:E30)</f>
        <v/>
      </c>
    </row>
    <row r="31">
      <c r="A31" s="5" t="inlineStr">
        <is>
          <t>Account executives (US) [Sales]</t>
        </is>
      </c>
      <c r="B31" s="18">
        <f>Headcount!B9*IF(1&gt;=Assumptions!$B$79,1,0)*Assumptions!$B$80/4</f>
        <v/>
      </c>
      <c r="C31" s="18">
        <f>Headcount!B9*IF(2&gt;=Assumptions!$B$79,1,0)*Assumptions!$B$80/4</f>
        <v/>
      </c>
      <c r="D31" s="18">
        <f>Headcount!B9*IF(3&gt;=Assumptions!$B$79,1,0)*Assumptions!$B$80/4</f>
        <v/>
      </c>
      <c r="E31" s="18">
        <f>Headcount!B9*IF(4&gt;=Assumptions!$B$79,1,0)*Assumptions!$B$80/4</f>
        <v/>
      </c>
      <c r="F31" s="18">
        <f>SUM(B31:E31)</f>
        <v/>
      </c>
    </row>
    <row r="32">
      <c r="A32" s="5" t="inlineStr">
        <is>
          <t>Sales engineer (US) [Sales]</t>
        </is>
      </c>
      <c r="B32" s="18">
        <f>Headcount!B10*IF(1&gt;=Assumptions!$B$83,1,0)*Assumptions!$B$84/4</f>
        <v/>
      </c>
      <c r="C32" s="18">
        <f>Headcount!B10*IF(2&gt;=Assumptions!$B$83,1,0)*Assumptions!$B$84/4</f>
        <v/>
      </c>
      <c r="D32" s="18">
        <f>Headcount!B10*IF(3&gt;=Assumptions!$B$83,1,0)*Assumptions!$B$84/4</f>
        <v/>
      </c>
      <c r="E32" s="18">
        <f>Headcount!B10*IF(4&gt;=Assumptions!$B$83,1,0)*Assumptions!$B$84/4</f>
        <v/>
      </c>
      <c r="F32" s="18">
        <f>SUM(B32:E32)</f>
        <v/>
      </c>
    </row>
    <row r="33">
      <c r="A33" s="5" t="inlineStr">
        <is>
          <t>Claims analysts / customer success (US) [Claims operations (COGS)]</t>
        </is>
      </c>
      <c r="B33" s="18">
        <f>Headcount!B11*IF(1&gt;=Assumptions!$B$87,1,0)*Assumptions!$B$88/4</f>
        <v/>
      </c>
      <c r="C33" s="18">
        <f>Headcount!B11*IF(2&gt;=Assumptions!$B$87,1,0)*Assumptions!$B$88/4</f>
        <v/>
      </c>
      <c r="D33" s="18">
        <f>Headcount!B11*IF(3&gt;=Assumptions!$B$87,1,0)*Assumptions!$B$88/4</f>
        <v/>
      </c>
      <c r="E33" s="18">
        <f>Headcount!B11*IF(4&gt;=Assumptions!$B$87,1,0)*Assumptions!$B$88/4</f>
        <v/>
      </c>
      <c r="F33" s="18">
        <f>SUM(B33:E33)</f>
        <v/>
      </c>
    </row>
    <row r="34">
      <c r="A34" s="5" t="inlineStr">
        <is>
          <t>Marketing (US) [Marketing]</t>
        </is>
      </c>
      <c r="B34" s="18">
        <f>Headcount!B12*IF(1&gt;=Assumptions!$B$91,1,0)*Assumptions!$B$92/4</f>
        <v/>
      </c>
      <c r="C34" s="18">
        <f>Headcount!B12*IF(2&gt;=Assumptions!$B$91,1,0)*Assumptions!$B$92/4</f>
        <v/>
      </c>
      <c r="D34" s="18">
        <f>Headcount!B12*IF(3&gt;=Assumptions!$B$91,1,0)*Assumptions!$B$92/4</f>
        <v/>
      </c>
      <c r="E34" s="18">
        <f>Headcount!B12*IF(4&gt;=Assumptions!$B$91,1,0)*Assumptions!$B$92/4</f>
        <v/>
      </c>
      <c r="F34" s="18">
        <f>SUM(B34:E34)</f>
        <v/>
      </c>
    </row>
    <row r="35">
      <c r="A35" s="5" t="inlineStr">
        <is>
          <t>Finance, legal operations, people [G&amp;A]</t>
        </is>
      </c>
      <c r="B35" s="18">
        <f>Headcount!B13*IF(1&gt;=Assumptions!$B$95,1,0)*Assumptions!$B$96/4</f>
        <v/>
      </c>
      <c r="C35" s="18">
        <f>Headcount!B13*IF(2&gt;=Assumptions!$B$95,1,0)*Assumptions!$B$96/4</f>
        <v/>
      </c>
      <c r="D35" s="18">
        <f>Headcount!B13*IF(3&gt;=Assumptions!$B$95,1,0)*Assumptions!$B$96/4</f>
        <v/>
      </c>
      <c r="E35" s="18">
        <f>Headcount!B13*IF(4&gt;=Assumptions!$B$95,1,0)*Assumptions!$B$96/4</f>
        <v/>
      </c>
      <c r="F35" s="18">
        <f>SUM(B35:E35)</f>
        <v/>
      </c>
    </row>
    <row r="36">
      <c r="A36" s="5" t="inlineStr">
        <is>
          <t>Cloud hosting, data feeds and tooling [COGS]</t>
        </is>
      </c>
      <c r="B36" s="18">
        <f>B5/4</f>
        <v/>
      </c>
      <c r="C36" s="18">
        <f>B5/4</f>
        <v/>
      </c>
      <c r="D36" s="18">
        <f>B5/4</f>
        <v/>
      </c>
      <c r="E36" s="18">
        <f>B5/4</f>
        <v/>
      </c>
      <c r="F36" s="18">
        <f>SUM(B36:E36)</f>
        <v/>
      </c>
    </row>
    <row r="37">
      <c r="A37" s="5" t="inlineStr">
        <is>
          <t>Security programme (SOC 2, pen tests, tooling, insurance) [Security]</t>
        </is>
      </c>
      <c r="B37" s="18">
        <f>B6/4</f>
        <v/>
      </c>
      <c r="C37" s="18">
        <f>B6/4</f>
        <v/>
      </c>
      <c r="D37" s="18">
        <f>B6/4</f>
        <v/>
      </c>
      <c r="E37" s="18">
        <f>B6/4</f>
        <v/>
      </c>
      <c r="F37" s="18">
        <f>SUM(B37:E37)</f>
        <v/>
      </c>
    </row>
    <row r="38">
      <c r="A38" s="5" t="inlineStr">
        <is>
          <t>Legal and regulatory [G&amp;A]</t>
        </is>
      </c>
      <c r="B38" s="18">
        <f>B7/4</f>
        <v/>
      </c>
      <c r="C38" s="18">
        <f>B7/4</f>
        <v/>
      </c>
      <c r="D38" s="18">
        <f>B7/4</f>
        <v/>
      </c>
      <c r="E38" s="18">
        <f>B7/4</f>
        <v/>
      </c>
      <c r="F38" s="18">
        <f>SUM(B38:E38)</f>
        <v/>
      </c>
    </row>
    <row r="39">
      <c r="A39" s="5" t="inlineStr">
        <is>
          <t>Marketing programmes and events [Marketing]</t>
        </is>
      </c>
      <c r="B39" s="18">
        <f>B8/4</f>
        <v/>
      </c>
      <c r="C39" s="18">
        <f>B8/4</f>
        <v/>
      </c>
      <c r="D39" s="18">
        <f>B8/4</f>
        <v/>
      </c>
      <c r="E39" s="18">
        <f>B8/4</f>
        <v/>
      </c>
      <c r="F39" s="18">
        <f>SUM(B39:E39)</f>
        <v/>
      </c>
    </row>
    <row r="40">
      <c r="A40" s="5" t="inlineStr">
        <is>
          <t>Travel and customer visits [Sales]</t>
        </is>
      </c>
      <c r="B40" s="18">
        <f>B9/4</f>
        <v/>
      </c>
      <c r="C40" s="18">
        <f>B9/4</f>
        <v/>
      </c>
      <c r="D40" s="18">
        <f>B9/4</f>
        <v/>
      </c>
      <c r="E40" s="18">
        <f>B9/4</f>
        <v/>
      </c>
      <c r="F40" s="18">
        <f>SUM(B40:E40)</f>
        <v/>
      </c>
    </row>
    <row r="41">
      <c r="A41" s="5" t="inlineStr">
        <is>
          <t>Office, software, admin, accounting [G&amp;A]</t>
        </is>
      </c>
      <c r="B41" s="18">
        <f>B10/4</f>
        <v/>
      </c>
      <c r="C41" s="18">
        <f>B10/4</f>
        <v/>
      </c>
      <c r="D41" s="18">
        <f>B10/4</f>
        <v/>
      </c>
      <c r="E41" s="18">
        <f>B10/4</f>
        <v/>
      </c>
      <c r="F41" s="18">
        <f>SUM(B41:E41)</f>
        <v/>
      </c>
    </row>
    <row r="42">
      <c r="A42" s="5" t="inlineStr">
        <is>
          <t>Partner commission [Sales]</t>
        </is>
      </c>
      <c r="B42" s="18">
        <f>B11/4</f>
        <v/>
      </c>
      <c r="C42" s="18">
        <f>B11/4</f>
        <v/>
      </c>
      <c r="D42" s="18">
        <f>B11/4</f>
        <v/>
      </c>
      <c r="E42" s="18">
        <f>B11/4</f>
        <v/>
      </c>
      <c r="F42" s="18">
        <f>SUM(B42:E42)</f>
        <v/>
      </c>
    </row>
    <row r="43">
      <c r="A43" s="5" t="inlineStr">
        <is>
          <t>Variable cost of revenue [COGS]</t>
        </is>
      </c>
      <c r="B43" s="18">
        <f>B23/4</f>
        <v/>
      </c>
      <c r="C43" s="18">
        <f>B23/4</f>
        <v/>
      </c>
      <c r="D43" s="18">
        <f>B23/4</f>
        <v/>
      </c>
      <c r="E43" s="18">
        <f>B23/4</f>
        <v/>
      </c>
      <c r="F43" s="18">
        <f>SUM(B43:E43)</f>
        <v/>
      </c>
    </row>
    <row r="44">
      <c r="A44" s="3" t="inlineStr">
        <is>
          <t>Year-1 budget: department totals ($K)</t>
        </is>
      </c>
      <c r="B44" s="3" t="inlineStr">
        <is>
          <t>Q1</t>
        </is>
      </c>
      <c r="C44" s="3" t="inlineStr">
        <is>
          <t>Q2</t>
        </is>
      </c>
      <c r="D44" s="3" t="inlineStr">
        <is>
          <t>Q3</t>
        </is>
      </c>
      <c r="E44" s="3" t="inlineStr">
        <is>
          <t>Q4</t>
        </is>
      </c>
      <c r="F44" s="3" t="inlineStr">
        <is>
          <t>Year 1</t>
        </is>
      </c>
      <c r="G44" s="4" t="n"/>
      <c r="H44" s="4" t="n"/>
      <c r="I44" s="4" t="n"/>
      <c r="J44" s="4" t="n"/>
    </row>
    <row r="45">
      <c r="A45" s="5" t="inlineStr">
        <is>
          <t>Engineering</t>
        </is>
      </c>
      <c r="B45" s="18">
        <f>B28+B29</f>
        <v/>
      </c>
      <c r="C45" s="18">
        <f>C28+C29</f>
        <v/>
      </c>
      <c r="D45" s="18">
        <f>D28+D29</f>
        <v/>
      </c>
      <c r="E45" s="18">
        <f>E28+E29</f>
        <v/>
      </c>
      <c r="F45" s="18">
        <f>F28+F29</f>
        <v/>
      </c>
    </row>
    <row r="46">
      <c r="A46" s="5" t="inlineStr">
        <is>
          <t>Security</t>
        </is>
      </c>
      <c r="B46" s="18">
        <f>B30+B37</f>
        <v/>
      </c>
      <c r="C46" s="18">
        <f>C30+C37</f>
        <v/>
      </c>
      <c r="D46" s="18">
        <f>D30+D37</f>
        <v/>
      </c>
      <c r="E46" s="18">
        <f>E30+E37</f>
        <v/>
      </c>
      <c r="F46" s="18">
        <f>F30+F37</f>
        <v/>
      </c>
    </row>
    <row r="47">
      <c r="A47" s="5" t="inlineStr">
        <is>
          <t>Sales</t>
        </is>
      </c>
      <c r="B47" s="18">
        <f>B31+B32+B40+B42</f>
        <v/>
      </c>
      <c r="C47" s="18">
        <f>C31+C32+C40+C42</f>
        <v/>
      </c>
      <c r="D47" s="18">
        <f>D31+D32+D40+D42</f>
        <v/>
      </c>
      <c r="E47" s="18">
        <f>E31+E32+E40+E42</f>
        <v/>
      </c>
      <c r="F47" s="18">
        <f>F31+F32+F40+F42</f>
        <v/>
      </c>
    </row>
    <row r="48">
      <c r="A48" s="5" t="inlineStr">
        <is>
          <t>Marketing</t>
        </is>
      </c>
      <c r="B48" s="18">
        <f>B34+B39</f>
        <v/>
      </c>
      <c r="C48" s="18">
        <f>C34+C39</f>
        <v/>
      </c>
      <c r="D48" s="18">
        <f>D34+D39</f>
        <v/>
      </c>
      <c r="E48" s="18">
        <f>E34+E39</f>
        <v/>
      </c>
      <c r="F48" s="18">
        <f>F34+F39</f>
        <v/>
      </c>
    </row>
    <row r="49">
      <c r="A49" s="5" t="inlineStr">
        <is>
          <t>G&amp;A</t>
        </is>
      </c>
      <c r="B49" s="18">
        <f>B27+B35+B38+B41</f>
        <v/>
      </c>
      <c r="C49" s="18">
        <f>C27+C35+C38+C41</f>
        <v/>
      </c>
      <c r="D49" s="18">
        <f>D27+D35+D38+D41</f>
        <v/>
      </c>
      <c r="E49" s="18">
        <f>E27+E35+E38+E41</f>
        <v/>
      </c>
      <c r="F49" s="18">
        <f>F27+F35+F38+F41</f>
        <v/>
      </c>
    </row>
    <row r="50">
      <c r="A50" s="5" t="inlineStr">
        <is>
          <t>Claims operations (COGS)</t>
        </is>
      </c>
      <c r="B50" s="18">
        <f>B33+B36+B43</f>
        <v/>
      </c>
      <c r="C50" s="18">
        <f>C33+C36+C43</f>
        <v/>
      </c>
      <c r="D50" s="18">
        <f>D33+D36+D43</f>
        <v/>
      </c>
      <c r="E50" s="18">
        <f>E33+E36+E43</f>
        <v/>
      </c>
      <c r="F50" s="18">
        <f>F33+F36+F43</f>
        <v/>
      </c>
    </row>
    <row r="51">
      <c r="A51" s="17" t="inlineStr">
        <is>
          <t>Total year-1 spend (operating expense + cost of revenue)</t>
        </is>
      </c>
      <c r="B51" s="18">
        <f>SUM(B45:B50)</f>
        <v/>
      </c>
      <c r="C51" s="18">
        <f>SUM(C45:C50)</f>
        <v/>
      </c>
      <c r="D51" s="18">
        <f>SUM(D45:D50)</f>
        <v/>
      </c>
      <c r="E51" s="18">
        <f>SUM(E45:E50)</f>
        <v/>
      </c>
      <c r="F51" s="18">
        <f>SUM(F45:F50)</f>
        <v/>
      </c>
    </row>
    <row r="52">
      <c r="A52" s="5" t="inlineStr">
        <is>
          <t>Check: year-1 budget total minus annual model (must be 0)</t>
        </is>
      </c>
      <c r="B52" s="18">
        <f>ROUND(F51-(B18+B24),6)</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4" customWidth="1" min="1" max="1"/>
    <col width="12" customWidth="1" min="2" max="2"/>
    <col width="12" customWidth="1" min="3" max="3"/>
    <col width="12" customWidth="1" min="4" max="4"/>
    <col width="12" customWidth="1" min="5" max="5"/>
    <col width="12" customWidth="1" min="6" max="6"/>
    <col width="12" customWidth="1" min="7" max="7"/>
    <col width="12" customWidth="1" min="8" max="8"/>
  </cols>
  <sheetData>
    <row r="1">
      <c r="A1" s="1" t="inlineStr">
        <is>
          <t>Income statement (active scenario)</t>
        </is>
      </c>
    </row>
    <row r="2">
      <c r="A2" t="inlineStr">
        <is>
          <t>Cost of revenue is built bottom-up (claims staff, hosting and data, variable cost); gross margin is an output.</t>
        </is>
      </c>
    </row>
    <row r="3">
      <c r="A3" s="2" t="inlineStr">
        <is>
          <t>$K unless stated</t>
        </is>
      </c>
      <c r="B3" s="2">
        <f>"Y"&amp;Assumptions!$B$6</f>
        <v/>
      </c>
      <c r="C3" s="2">
        <f>"Y"&amp;Assumptions!$C$6</f>
        <v/>
      </c>
      <c r="D3" s="2">
        <f>"Y"&amp;Assumptions!$D$6</f>
        <v/>
      </c>
      <c r="E3" s="2">
        <f>"Y"&amp;Assumptions!$E$6</f>
        <v/>
      </c>
      <c r="F3" s="2">
        <f>"Y"&amp;Assumptions!$F$6</f>
        <v/>
      </c>
      <c r="G3" s="2">
        <f>"Y"&amp;Assumptions!$G$6</f>
        <v/>
      </c>
      <c r="H3" s="2">
        <f>"Y"&amp;Assumptions!$H$6</f>
        <v/>
      </c>
    </row>
    <row r="4">
      <c r="A4" s="17" t="inlineStr">
        <is>
          <t>Revenue</t>
        </is>
      </c>
      <c r="B4" s="18">
        <f>Revenue!B30</f>
        <v/>
      </c>
      <c r="C4" s="18">
        <f>Revenue!C30</f>
        <v/>
      </c>
      <c r="D4" s="18">
        <f>Revenue!D30</f>
        <v/>
      </c>
      <c r="E4" s="18">
        <f>Revenue!E30</f>
        <v/>
      </c>
      <c r="F4" s="18">
        <f>Revenue!F30</f>
        <v/>
      </c>
      <c r="G4" s="18">
        <f>Revenue!G30</f>
        <v/>
      </c>
      <c r="H4" s="18">
        <f>Revenue!H30</f>
        <v/>
      </c>
    </row>
    <row r="5">
      <c r="A5" s="5" t="inlineStr">
        <is>
          <t>Cost of revenue</t>
        </is>
      </c>
      <c r="B5" s="18">
        <f>OpEx!B24</f>
        <v/>
      </c>
      <c r="C5" s="18">
        <f>OpEx!C24</f>
        <v/>
      </c>
      <c r="D5" s="18">
        <f>OpEx!D24</f>
        <v/>
      </c>
      <c r="E5" s="18">
        <f>OpEx!E24</f>
        <v/>
      </c>
      <c r="F5" s="18">
        <f>OpEx!F24</f>
        <v/>
      </c>
      <c r="G5" s="18">
        <f>OpEx!G24</f>
        <v/>
      </c>
      <c r="H5" s="18">
        <f>OpEx!H24</f>
        <v/>
      </c>
    </row>
    <row r="6">
      <c r="A6" s="17" t="inlineStr">
        <is>
          <t>Gross profit</t>
        </is>
      </c>
      <c r="B6" s="18">
        <f>B4-B5</f>
        <v/>
      </c>
      <c r="C6" s="18">
        <f>C4-C5</f>
        <v/>
      </c>
      <c r="D6" s="18">
        <f>D4-D5</f>
        <v/>
      </c>
      <c r="E6" s="18">
        <f>E4-E5</f>
        <v/>
      </c>
      <c r="F6" s="18">
        <f>F4-F5</f>
        <v/>
      </c>
      <c r="G6" s="18">
        <f>G4-G5</f>
        <v/>
      </c>
      <c r="H6" s="18">
        <f>H4-H5</f>
        <v/>
      </c>
    </row>
    <row r="7">
      <c r="A7" s="5" t="inlineStr">
        <is>
          <t>Gross margin</t>
        </is>
      </c>
      <c r="B7" s="12">
        <f>IF(B4=0,0,B6/B4)</f>
        <v/>
      </c>
      <c r="C7" s="12">
        <f>IF(C4=0,0,C6/C4)</f>
        <v/>
      </c>
      <c r="D7" s="12">
        <f>IF(D4=0,0,D6/D4)</f>
        <v/>
      </c>
      <c r="E7" s="12">
        <f>IF(E4=0,0,E6/E4)</f>
        <v/>
      </c>
      <c r="F7" s="12">
        <f>IF(F4=0,0,F6/F4)</f>
        <v/>
      </c>
      <c r="G7" s="12">
        <f>IF(G4=0,0,G6/G4)</f>
        <v/>
      </c>
      <c r="H7" s="12">
        <f>IF(H4=0,0,H6/H4)</f>
        <v/>
      </c>
    </row>
    <row r="8">
      <c r="A8" s="5" t="inlineStr">
        <is>
          <t>Operating expense: Engineering</t>
        </is>
      </c>
      <c r="B8" s="18">
        <f>OpEx!B13</f>
        <v/>
      </c>
      <c r="C8" s="18">
        <f>OpEx!C13</f>
        <v/>
      </c>
      <c r="D8" s="18">
        <f>OpEx!D13</f>
        <v/>
      </c>
      <c r="E8" s="18">
        <f>OpEx!E13</f>
        <v/>
      </c>
      <c r="F8" s="18">
        <f>OpEx!F13</f>
        <v/>
      </c>
      <c r="G8" s="18">
        <f>OpEx!G13</f>
        <v/>
      </c>
      <c r="H8" s="18">
        <f>OpEx!H13</f>
        <v/>
      </c>
    </row>
    <row r="9">
      <c r="A9" s="5" t="inlineStr">
        <is>
          <t>Operating expense: Security</t>
        </is>
      </c>
      <c r="B9" s="18">
        <f>OpEx!B14</f>
        <v/>
      </c>
      <c r="C9" s="18">
        <f>OpEx!C14</f>
        <v/>
      </c>
      <c r="D9" s="18">
        <f>OpEx!D14</f>
        <v/>
      </c>
      <c r="E9" s="18">
        <f>OpEx!E14</f>
        <v/>
      </c>
      <c r="F9" s="18">
        <f>OpEx!F14</f>
        <v/>
      </c>
      <c r="G9" s="18">
        <f>OpEx!G14</f>
        <v/>
      </c>
      <c r="H9" s="18">
        <f>OpEx!H14</f>
        <v/>
      </c>
    </row>
    <row r="10">
      <c r="A10" s="5" t="inlineStr">
        <is>
          <t>Operating expense: Sales</t>
        </is>
      </c>
      <c r="B10" s="18">
        <f>OpEx!B15</f>
        <v/>
      </c>
      <c r="C10" s="18">
        <f>OpEx!C15</f>
        <v/>
      </c>
      <c r="D10" s="18">
        <f>OpEx!D15</f>
        <v/>
      </c>
      <c r="E10" s="18">
        <f>OpEx!E15</f>
        <v/>
      </c>
      <c r="F10" s="18">
        <f>OpEx!F15</f>
        <v/>
      </c>
      <c r="G10" s="18">
        <f>OpEx!G15</f>
        <v/>
      </c>
      <c r="H10" s="18">
        <f>OpEx!H15</f>
        <v/>
      </c>
    </row>
    <row r="11">
      <c r="A11" s="5" t="inlineStr">
        <is>
          <t>Operating expense: Marketing</t>
        </is>
      </c>
      <c r="B11" s="18">
        <f>OpEx!B16</f>
        <v/>
      </c>
      <c r="C11" s="18">
        <f>OpEx!C16</f>
        <v/>
      </c>
      <c r="D11" s="18">
        <f>OpEx!D16</f>
        <v/>
      </c>
      <c r="E11" s="18">
        <f>OpEx!E16</f>
        <v/>
      </c>
      <c r="F11" s="18">
        <f>OpEx!F16</f>
        <v/>
      </c>
      <c r="G11" s="18">
        <f>OpEx!G16</f>
        <v/>
      </c>
      <c r="H11" s="18">
        <f>OpEx!H16</f>
        <v/>
      </c>
    </row>
    <row r="12">
      <c r="A12" s="5" t="inlineStr">
        <is>
          <t>Operating expense: G&amp;A</t>
        </is>
      </c>
      <c r="B12" s="18">
        <f>OpEx!B17</f>
        <v/>
      </c>
      <c r="C12" s="18">
        <f>OpEx!C17</f>
        <v/>
      </c>
      <c r="D12" s="18">
        <f>OpEx!D17</f>
        <v/>
      </c>
      <c r="E12" s="18">
        <f>OpEx!E17</f>
        <v/>
      </c>
      <c r="F12" s="18">
        <f>OpEx!F17</f>
        <v/>
      </c>
      <c r="G12" s="18">
        <f>OpEx!G17</f>
        <v/>
      </c>
      <c r="H12" s="18">
        <f>OpEx!H17</f>
        <v/>
      </c>
    </row>
    <row r="13">
      <c r="A13" s="17" t="inlineStr">
        <is>
          <t>Total operating expense</t>
        </is>
      </c>
      <c r="B13" s="18">
        <f>SUM(B8:B12)</f>
        <v/>
      </c>
      <c r="C13" s="18">
        <f>SUM(C8:C12)</f>
        <v/>
      </c>
      <c r="D13" s="18">
        <f>SUM(D8:D12)</f>
        <v/>
      </c>
      <c r="E13" s="18">
        <f>SUM(E8:E12)</f>
        <v/>
      </c>
      <c r="F13" s="18">
        <f>SUM(F8:F12)</f>
        <v/>
      </c>
      <c r="G13" s="18">
        <f>SUM(G8:G12)</f>
        <v/>
      </c>
      <c r="H13" s="18">
        <f>SUM(H8:H12)</f>
        <v/>
      </c>
    </row>
    <row r="14">
      <c r="A14" s="17" t="inlineStr">
        <is>
          <t>EBITDA</t>
        </is>
      </c>
      <c r="B14" s="18">
        <f>B6-B13</f>
        <v/>
      </c>
      <c r="C14" s="18">
        <f>C6-C13</f>
        <v/>
      </c>
      <c r="D14" s="18">
        <f>D6-D13</f>
        <v/>
      </c>
      <c r="E14" s="18">
        <f>E6-E13</f>
        <v/>
      </c>
      <c r="F14" s="18">
        <f>F6-F13</f>
        <v/>
      </c>
      <c r="G14" s="18">
        <f>G6-G13</f>
        <v/>
      </c>
      <c r="H14" s="18">
        <f>H6-H13</f>
        <v/>
      </c>
    </row>
    <row r="15">
      <c r="A15" s="5" t="inlineStr">
        <is>
          <t>EBITDA margin</t>
        </is>
      </c>
      <c r="B15" s="12">
        <f>IF(B4=0,0,B14/B4)</f>
        <v/>
      </c>
      <c r="C15" s="12">
        <f>IF(C4=0,0,C14/C4)</f>
        <v/>
      </c>
      <c r="D15" s="12">
        <f>IF(D4=0,0,D14/D4)</f>
        <v/>
      </c>
      <c r="E15" s="12">
        <f>IF(E4=0,0,E14/E4)</f>
        <v/>
      </c>
      <c r="F15" s="12">
        <f>IF(F4=0,0,F14/F4)</f>
        <v/>
      </c>
      <c r="G15" s="12">
        <f>IF(G4=0,0,G14/G4)</f>
        <v/>
      </c>
      <c r="H15" s="12">
        <f>IF(H4=0,0,H14/H4)</f>
        <v/>
      </c>
    </row>
    <row r="16">
      <c r="A16" s="5" t="inlineStr">
        <is>
          <t>Depreciation = capex of the last N years / N (N = depreciation life)</t>
        </is>
      </c>
      <c r="B16" s="18">
        <f>SUMPRODUCT((Assumptions!$B$6:$H$6&lt;=Assumptions!$B$6)*(Assumptions!$B$6:$H$6&gt;Assumptions!$B$6-Assumptions!$B$16)*Headcount!$B$51:$H$51)/Assumptions!$B$16</f>
        <v/>
      </c>
      <c r="C16" s="18">
        <f>SUMPRODUCT((Assumptions!$B$6:$H$6&lt;=Assumptions!$C$6)*(Assumptions!$B$6:$H$6&gt;Assumptions!$C$6-Assumptions!$B$16)*Headcount!$B$51:$H$51)/Assumptions!$B$16</f>
        <v/>
      </c>
      <c r="D16" s="18">
        <f>SUMPRODUCT((Assumptions!$B$6:$H$6&lt;=Assumptions!$D$6)*(Assumptions!$B$6:$H$6&gt;Assumptions!$D$6-Assumptions!$B$16)*Headcount!$B$51:$H$51)/Assumptions!$B$16</f>
        <v/>
      </c>
      <c r="E16" s="18">
        <f>SUMPRODUCT((Assumptions!$B$6:$H$6&lt;=Assumptions!$E$6)*(Assumptions!$B$6:$H$6&gt;Assumptions!$E$6-Assumptions!$B$16)*Headcount!$B$51:$H$51)/Assumptions!$B$16</f>
        <v/>
      </c>
      <c r="F16" s="18">
        <f>SUMPRODUCT((Assumptions!$B$6:$H$6&lt;=Assumptions!$F$6)*(Assumptions!$B$6:$H$6&gt;Assumptions!$F$6-Assumptions!$B$16)*Headcount!$B$51:$H$51)/Assumptions!$B$16</f>
        <v/>
      </c>
      <c r="G16" s="18">
        <f>SUMPRODUCT((Assumptions!$B$6:$H$6&lt;=Assumptions!$G$6)*(Assumptions!$B$6:$H$6&gt;Assumptions!$G$6-Assumptions!$B$16)*Headcount!$B$51:$H$51)/Assumptions!$B$16</f>
        <v/>
      </c>
      <c r="H16" s="18">
        <f>SUMPRODUCT((Assumptions!$B$6:$H$6&lt;=Assumptions!$H$6)*(Assumptions!$B$6:$H$6&gt;Assumptions!$H$6-Assumptions!$B$16)*Headcount!$B$51:$H$51)/Assumptions!$B$16</f>
        <v/>
      </c>
    </row>
    <row r="17">
      <c r="A17" s="5" t="inlineStr">
        <is>
          <t>Operating profit (EBIT)</t>
        </is>
      </c>
      <c r="B17" s="18">
        <f>B14-B16</f>
        <v/>
      </c>
      <c r="C17" s="18">
        <f>C14-C16</f>
        <v/>
      </c>
      <c r="D17" s="18">
        <f>D14-D16</f>
        <v/>
      </c>
      <c r="E17" s="18">
        <f>E14-E16</f>
        <v/>
      </c>
      <c r="F17" s="18">
        <f>F14-F16</f>
        <v/>
      </c>
      <c r="G17" s="18">
        <f>G14-G16</f>
        <v/>
      </c>
      <c r="H17" s="18">
        <f>H14-H16</f>
        <v/>
      </c>
    </row>
    <row r="18">
      <c r="A18" s="5" t="inlineStr">
        <is>
          <t>Interest income on prior year-end cash</t>
        </is>
      </c>
      <c r="B18" s="18">
        <f>Assumptions!$B$18*Assumptions!$B$17</f>
        <v/>
      </c>
      <c r="C18" s="18">
        <f>'Cash Flow'!B17*Assumptions!$B$17</f>
        <v/>
      </c>
      <c r="D18" s="18">
        <f>'Cash Flow'!C17*Assumptions!$B$17</f>
        <v/>
      </c>
      <c r="E18" s="18">
        <f>'Cash Flow'!D17*Assumptions!$B$17</f>
        <v/>
      </c>
      <c r="F18" s="18">
        <f>'Cash Flow'!E17*Assumptions!$B$17</f>
        <v/>
      </c>
      <c r="G18" s="18">
        <f>'Cash Flow'!F17*Assumptions!$B$17</f>
        <v/>
      </c>
      <c r="H18" s="18">
        <f>'Cash Flow'!G17*Assumptions!$B$17</f>
        <v/>
      </c>
    </row>
    <row r="19">
      <c r="A19" s="5" t="inlineStr">
        <is>
          <t>Profit before tax</t>
        </is>
      </c>
      <c r="B19" s="18">
        <f>B17+B18</f>
        <v/>
      </c>
      <c r="C19" s="18">
        <f>C17+C18</f>
        <v/>
      </c>
      <c r="D19" s="18">
        <f>D17+D18</f>
        <v/>
      </c>
      <c r="E19" s="18">
        <f>E17+E18</f>
        <v/>
      </c>
      <c r="F19" s="18">
        <f>F17+F18</f>
        <v/>
      </c>
      <c r="G19" s="18">
        <f>G17+G18</f>
        <v/>
      </c>
      <c r="H19" s="18">
        <f>H17+H18</f>
        <v/>
      </c>
    </row>
    <row r="20">
      <c r="A20" s="5" t="inlineStr">
        <is>
          <t>Cumulative profit before tax (loss pool when negative)</t>
        </is>
      </c>
      <c r="B20" s="18">
        <f>B19</f>
        <v/>
      </c>
      <c r="C20" s="18">
        <f>B20+C19</f>
        <v/>
      </c>
      <c r="D20" s="18">
        <f>C20+D19</f>
        <v/>
      </c>
      <c r="E20" s="18">
        <f>D20+E19</f>
        <v/>
      </c>
      <c r="F20" s="18">
        <f>E20+F19</f>
        <v/>
      </c>
      <c r="G20" s="18">
        <f>F20+G19</f>
        <v/>
      </c>
      <c r="H20" s="18">
        <f>G20+H19</f>
        <v/>
      </c>
    </row>
    <row r="21">
      <c r="A21" s="5" t="inlineStr">
        <is>
          <t>Income tax after loss carry-forward = rate x increase in positive cumulative profit</t>
        </is>
      </c>
      <c r="B21" s="18">
        <f>MAX(0,B20)*Assumptions!$B$12</f>
        <v/>
      </c>
      <c r="C21" s="18">
        <f>MAX(0,MAX(0,C20)-MAX(0,B20))*Assumptions!$B$12</f>
        <v/>
      </c>
      <c r="D21" s="18">
        <f>MAX(0,MAX(0,D20)-MAX(0,C20))*Assumptions!$B$12</f>
        <v/>
      </c>
      <c r="E21" s="18">
        <f>MAX(0,MAX(0,E20)-MAX(0,D20))*Assumptions!$B$12</f>
        <v/>
      </c>
      <c r="F21" s="18">
        <f>MAX(0,MAX(0,F20)-MAX(0,E20))*Assumptions!$B$12</f>
        <v/>
      </c>
      <c r="G21" s="18">
        <f>MAX(0,MAX(0,G20)-MAX(0,F20))*Assumptions!$B$12</f>
        <v/>
      </c>
      <c r="H21" s="18">
        <f>MAX(0,MAX(0,H20)-MAX(0,G20))*Assumptions!$B$12</f>
        <v/>
      </c>
    </row>
    <row r="22">
      <c r="A22" s="17" t="inlineStr">
        <is>
          <t>Net income</t>
        </is>
      </c>
      <c r="B22" s="18">
        <f>B19-B21</f>
        <v/>
      </c>
      <c r="C22" s="18">
        <f>C19-C21</f>
        <v/>
      </c>
      <c r="D22" s="18">
        <f>D19-D21</f>
        <v/>
      </c>
      <c r="E22" s="18">
        <f>E19-E21</f>
        <v/>
      </c>
      <c r="F22" s="18">
        <f>F19-F21</f>
        <v/>
      </c>
      <c r="G22" s="18">
        <f>G19-G21</f>
        <v/>
      </c>
      <c r="H22" s="18">
        <f>H19-H21</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4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4" customWidth="1" min="1" max="1"/>
    <col width="12" customWidth="1" min="2" max="2"/>
    <col width="12" customWidth="1" min="3" max="3"/>
    <col width="12" customWidth="1" min="4" max="4"/>
    <col width="12" customWidth="1" min="5" max="5"/>
    <col width="12" customWidth="1" min="6" max="6"/>
    <col width="12" customWidth="1" min="7" max="7"/>
    <col width="12" customWidth="1" min="8" max="8"/>
  </cols>
  <sheetData>
    <row r="1">
      <c r="A1" s="1" t="inlineStr">
        <is>
          <t>Cash flow statement (active scenario)</t>
        </is>
      </c>
    </row>
    <row r="2">
      <c r="A2" t="inlineStr">
        <is>
          <t>Indirect method. Financing = seed tranches and Series A in the years set on Assumptions.</t>
        </is>
      </c>
    </row>
    <row r="3">
      <c r="A3" s="2" t="inlineStr">
        <is>
          <t>$K unless stated</t>
        </is>
      </c>
      <c r="B3" s="2">
        <f>"Y"&amp;Assumptions!$B$6</f>
        <v/>
      </c>
      <c r="C3" s="2">
        <f>"Y"&amp;Assumptions!$C$6</f>
        <v/>
      </c>
      <c r="D3" s="2">
        <f>"Y"&amp;Assumptions!$D$6</f>
        <v/>
      </c>
      <c r="E3" s="2">
        <f>"Y"&amp;Assumptions!$E$6</f>
        <v/>
      </c>
      <c r="F3" s="2">
        <f>"Y"&amp;Assumptions!$F$6</f>
        <v/>
      </c>
      <c r="G3" s="2">
        <f>"Y"&amp;Assumptions!$G$6</f>
        <v/>
      </c>
      <c r="H3" s="2">
        <f>"Y"&amp;Assumptions!$H$6</f>
        <v/>
      </c>
    </row>
    <row r="4">
      <c r="A4" s="5" t="inlineStr">
        <is>
          <t>Net income</t>
        </is>
      </c>
      <c r="B4" s="18">
        <f>'P&amp;L'!B22</f>
        <v/>
      </c>
      <c r="C4" s="18">
        <f>'P&amp;L'!C22</f>
        <v/>
      </c>
      <c r="D4" s="18">
        <f>'P&amp;L'!D22</f>
        <v/>
      </c>
      <c r="E4" s="18">
        <f>'P&amp;L'!E22</f>
        <v/>
      </c>
      <c r="F4" s="18">
        <f>'P&amp;L'!F22</f>
        <v/>
      </c>
      <c r="G4" s="18">
        <f>'P&amp;L'!G22</f>
        <v/>
      </c>
      <c r="H4" s="18">
        <f>'P&amp;L'!H22</f>
        <v/>
      </c>
    </row>
    <row r="5">
      <c r="A5" s="5" t="inlineStr">
        <is>
          <t>Add back depreciation</t>
        </is>
      </c>
      <c r="B5" s="18">
        <f>'P&amp;L'!B16</f>
        <v/>
      </c>
      <c r="C5" s="18">
        <f>'P&amp;L'!C16</f>
        <v/>
      </c>
      <c r="D5" s="18">
        <f>'P&amp;L'!D16</f>
        <v/>
      </c>
      <c r="E5" s="18">
        <f>'P&amp;L'!E16</f>
        <v/>
      </c>
      <c r="F5" s="18">
        <f>'P&amp;L'!F16</f>
        <v/>
      </c>
      <c r="G5" s="18">
        <f>'P&amp;L'!G16</f>
        <v/>
      </c>
      <c r="H5" s="18">
        <f>'P&amp;L'!H16</f>
        <v/>
      </c>
    </row>
    <row r="6">
      <c r="A6" s="5" t="inlineStr">
        <is>
          <t>Less increase in receivables</t>
        </is>
      </c>
      <c r="B6" s="18">
        <f>-('Balance Sheet'!B5-0)</f>
        <v/>
      </c>
      <c r="C6" s="18">
        <f>-('Balance Sheet'!C5-'Balance Sheet'!B5)</f>
        <v/>
      </c>
      <c r="D6" s="18">
        <f>-('Balance Sheet'!D5-'Balance Sheet'!C5)</f>
        <v/>
      </c>
      <c r="E6" s="18">
        <f>-('Balance Sheet'!E5-'Balance Sheet'!D5)</f>
        <v/>
      </c>
      <c r="F6" s="18">
        <f>-('Balance Sheet'!F5-'Balance Sheet'!E5)</f>
        <v/>
      </c>
      <c r="G6" s="18">
        <f>-('Balance Sheet'!G5-'Balance Sheet'!F5)</f>
        <v/>
      </c>
      <c r="H6" s="18">
        <f>-('Balance Sheet'!H5-'Balance Sheet'!G5)</f>
        <v/>
      </c>
    </row>
    <row r="7">
      <c r="A7" s="5" t="inlineStr">
        <is>
          <t>Add increase in payables</t>
        </is>
      </c>
      <c r="B7" s="18">
        <f>'Balance Sheet'!B8-0</f>
        <v/>
      </c>
      <c r="C7" s="18">
        <f>'Balance Sheet'!C8-'Balance Sheet'!B8</f>
        <v/>
      </c>
      <c r="D7" s="18">
        <f>'Balance Sheet'!D8-'Balance Sheet'!C8</f>
        <v/>
      </c>
      <c r="E7" s="18">
        <f>'Balance Sheet'!E8-'Balance Sheet'!D8</f>
        <v/>
      </c>
      <c r="F7" s="18">
        <f>'Balance Sheet'!F8-'Balance Sheet'!E8</f>
        <v/>
      </c>
      <c r="G7" s="18">
        <f>'Balance Sheet'!G8-'Balance Sheet'!F8</f>
        <v/>
      </c>
      <c r="H7" s="18">
        <f>'Balance Sheet'!H8-'Balance Sheet'!G8</f>
        <v/>
      </c>
    </row>
    <row r="8">
      <c r="A8" s="17" t="inlineStr">
        <is>
          <t>Cash flow from operations</t>
        </is>
      </c>
      <c r="B8" s="18">
        <f>SUM(B4:B7)</f>
        <v/>
      </c>
      <c r="C8" s="18">
        <f>SUM(C4:C7)</f>
        <v/>
      </c>
      <c r="D8" s="18">
        <f>SUM(D4:D7)</f>
        <v/>
      </c>
      <c r="E8" s="18">
        <f>SUM(E4:E7)</f>
        <v/>
      </c>
      <c r="F8" s="18">
        <f>SUM(F4:F7)</f>
        <v/>
      </c>
      <c r="G8" s="18">
        <f>SUM(G4:G7)</f>
        <v/>
      </c>
      <c r="H8" s="18">
        <f>SUM(H4:H7)</f>
        <v/>
      </c>
    </row>
    <row r="9">
      <c r="A9" s="5" t="inlineStr">
        <is>
          <t>Capital expenditure (equipment)</t>
        </is>
      </c>
      <c r="B9" s="18">
        <f>-Headcount!B51</f>
        <v/>
      </c>
      <c r="C9" s="18">
        <f>-Headcount!C51</f>
        <v/>
      </c>
      <c r="D9" s="18">
        <f>-Headcount!D51</f>
        <v/>
      </c>
      <c r="E9" s="18">
        <f>-Headcount!E51</f>
        <v/>
      </c>
      <c r="F9" s="18">
        <f>-Headcount!F51</f>
        <v/>
      </c>
      <c r="G9" s="18">
        <f>-Headcount!G51</f>
        <v/>
      </c>
      <c r="H9" s="18">
        <f>-Headcount!H51</f>
        <v/>
      </c>
    </row>
    <row r="10">
      <c r="A10" s="17" t="inlineStr">
        <is>
          <t>Free cash flow (before financing)</t>
        </is>
      </c>
      <c r="B10" s="18">
        <f>B8+B9</f>
        <v/>
      </c>
      <c r="C10" s="18">
        <f>C8+C9</f>
        <v/>
      </c>
      <c r="D10" s="18">
        <f>D8+D9</f>
        <v/>
      </c>
      <c r="E10" s="18">
        <f>E8+E9</f>
        <v/>
      </c>
      <c r="F10" s="18">
        <f>F8+F9</f>
        <v/>
      </c>
      <c r="G10" s="18">
        <f>G8+G9</f>
        <v/>
      </c>
      <c r="H10" s="18">
        <f>H8+H9</f>
        <v/>
      </c>
    </row>
    <row r="11">
      <c r="A11" s="5" t="inlineStr">
        <is>
          <t>Seed tranche 1</t>
        </is>
      </c>
      <c r="B11" s="18">
        <f>IF(Assumptions!$B$6=Assumptions!$B$22,Assumptions!$B$21,0)</f>
        <v/>
      </c>
      <c r="C11" s="18">
        <f>IF(Assumptions!$C$6=Assumptions!$B$22,Assumptions!$B$21,0)</f>
        <v/>
      </c>
      <c r="D11" s="18">
        <f>IF(Assumptions!$D$6=Assumptions!$B$22,Assumptions!$B$21,0)</f>
        <v/>
      </c>
      <c r="E11" s="18">
        <f>IF(Assumptions!$E$6=Assumptions!$B$22,Assumptions!$B$21,0)</f>
        <v/>
      </c>
      <c r="F11" s="18">
        <f>IF(Assumptions!$F$6=Assumptions!$B$22,Assumptions!$B$21,0)</f>
        <v/>
      </c>
      <c r="G11" s="18">
        <f>IF(Assumptions!$G$6=Assumptions!$B$22,Assumptions!$B$21,0)</f>
        <v/>
      </c>
      <c r="H11" s="18">
        <f>IF(Assumptions!$H$6=Assumptions!$B$22,Assumptions!$B$21,0)</f>
        <v/>
      </c>
    </row>
    <row r="12">
      <c r="A12" s="5" t="inlineStr">
        <is>
          <t>Seed tranche 2</t>
        </is>
      </c>
      <c r="B12" s="18">
        <f>IF(Assumptions!$B$6=Assumptions!$B$24,Assumptions!$B$23,0)</f>
        <v/>
      </c>
      <c r="C12" s="18">
        <f>IF(Assumptions!$C$6=Assumptions!$B$24,Assumptions!$B$23,0)</f>
        <v/>
      </c>
      <c r="D12" s="18">
        <f>IF(Assumptions!$D$6=Assumptions!$B$24,Assumptions!$B$23,0)</f>
        <v/>
      </c>
      <c r="E12" s="18">
        <f>IF(Assumptions!$E$6=Assumptions!$B$24,Assumptions!$B$23,0)</f>
        <v/>
      </c>
      <c r="F12" s="18">
        <f>IF(Assumptions!$F$6=Assumptions!$B$24,Assumptions!$B$23,0)</f>
        <v/>
      </c>
      <c r="G12" s="18">
        <f>IF(Assumptions!$G$6=Assumptions!$B$24,Assumptions!$B$23,0)</f>
        <v/>
      </c>
      <c r="H12" s="18">
        <f>IF(Assumptions!$H$6=Assumptions!$B$24,Assumptions!$B$23,0)</f>
        <v/>
      </c>
    </row>
    <row r="13">
      <c r="A13" s="5" t="inlineStr">
        <is>
          <t>Series A</t>
        </is>
      </c>
      <c r="B13" s="18">
        <f>IF(Assumptions!$B$6=Assumptions!$B$26,Assumptions!$B$25,0)</f>
        <v/>
      </c>
      <c r="C13" s="18">
        <f>IF(Assumptions!$C$6=Assumptions!$B$26,Assumptions!$B$25,0)</f>
        <v/>
      </c>
      <c r="D13" s="18">
        <f>IF(Assumptions!$D$6=Assumptions!$B$26,Assumptions!$B$25,0)</f>
        <v/>
      </c>
      <c r="E13" s="18">
        <f>IF(Assumptions!$E$6=Assumptions!$B$26,Assumptions!$B$25,0)</f>
        <v/>
      </c>
      <c r="F13" s="18">
        <f>IF(Assumptions!$F$6=Assumptions!$B$26,Assumptions!$B$25,0)</f>
        <v/>
      </c>
      <c r="G13" s="18">
        <f>IF(Assumptions!$G$6=Assumptions!$B$26,Assumptions!$B$25,0)</f>
        <v/>
      </c>
      <c r="H13" s="18">
        <f>IF(Assumptions!$H$6=Assumptions!$B$26,Assumptions!$B$25,0)</f>
        <v/>
      </c>
    </row>
    <row r="14">
      <c r="A14" s="17" t="inlineStr">
        <is>
          <t>Cash flow from financing</t>
        </is>
      </c>
      <c r="B14" s="18">
        <f>SUM(B11:B13)</f>
        <v/>
      </c>
      <c r="C14" s="18">
        <f>SUM(C11:C13)</f>
        <v/>
      </c>
      <c r="D14" s="18">
        <f>SUM(D11:D13)</f>
        <v/>
      </c>
      <c r="E14" s="18">
        <f>SUM(E11:E13)</f>
        <v/>
      </c>
      <c r="F14" s="18">
        <f>SUM(F11:F13)</f>
        <v/>
      </c>
      <c r="G14" s="18">
        <f>SUM(G11:G13)</f>
        <v/>
      </c>
      <c r="H14" s="18">
        <f>SUM(H11:H13)</f>
        <v/>
      </c>
    </row>
    <row r="15">
      <c r="A15" s="5" t="inlineStr">
        <is>
          <t>Net change in cash</t>
        </is>
      </c>
      <c r="B15" s="18">
        <f>B10+B14</f>
        <v/>
      </c>
      <c r="C15" s="18">
        <f>C10+C14</f>
        <v/>
      </c>
      <c r="D15" s="18">
        <f>D10+D14</f>
        <v/>
      </c>
      <c r="E15" s="18">
        <f>E10+E14</f>
        <v/>
      </c>
      <c r="F15" s="18">
        <f>F10+F14</f>
        <v/>
      </c>
      <c r="G15" s="18">
        <f>G10+G14</f>
        <v/>
      </c>
      <c r="H15" s="18">
        <f>H10+H14</f>
        <v/>
      </c>
    </row>
    <row r="16">
      <c r="A16" s="5" t="inlineStr">
        <is>
          <t>Opening cash</t>
        </is>
      </c>
      <c r="B16" s="18">
        <f>Assumptions!$B$18</f>
        <v/>
      </c>
      <c r="C16" s="18">
        <f>B17</f>
        <v/>
      </c>
      <c r="D16" s="18">
        <f>C17</f>
        <v/>
      </c>
      <c r="E16" s="18">
        <f>D17</f>
        <v/>
      </c>
      <c r="F16" s="18">
        <f>E17</f>
        <v/>
      </c>
      <c r="G16" s="18">
        <f>F17</f>
        <v/>
      </c>
      <c r="H16" s="18">
        <f>G17</f>
        <v/>
      </c>
    </row>
    <row r="17">
      <c r="A17" s="17" t="inlineStr">
        <is>
          <t>Closing cash</t>
        </is>
      </c>
      <c r="B17" s="18">
        <f>B16+B15</f>
        <v/>
      </c>
      <c r="C17" s="18">
        <f>C16+C15</f>
        <v/>
      </c>
      <c r="D17" s="18">
        <f>D16+D15</f>
        <v/>
      </c>
      <c r="E17" s="18">
        <f>E16+E15</f>
        <v/>
      </c>
      <c r="F17" s="18">
        <f>F16+F15</f>
        <v/>
      </c>
      <c r="G17" s="18">
        <f>G16+G15</f>
        <v/>
      </c>
      <c r="H17" s="18">
        <f>H16+H15</f>
        <v/>
      </c>
    </row>
    <row r="18">
      <c r="A18" s="5" t="inlineStr">
        <is>
          <t>Average monthly net burn = MAX(0, -free cash flow) / 12</t>
        </is>
      </c>
      <c r="B18" s="18">
        <f>MAX(0,-B10)/12</f>
        <v/>
      </c>
      <c r="C18" s="18">
        <f>MAX(0,-C10)/12</f>
        <v/>
      </c>
      <c r="D18" s="18">
        <f>MAX(0,-D10)/12</f>
        <v/>
      </c>
      <c r="E18" s="18">
        <f>MAX(0,-E10)/12</f>
        <v/>
      </c>
      <c r="F18" s="18">
        <f>MAX(0,-F10)/12</f>
        <v/>
      </c>
      <c r="G18" s="18">
        <f>MAX(0,-G10)/12</f>
        <v/>
      </c>
      <c r="H18" s="18">
        <f>MAX(0,-H10)/12</f>
        <v/>
      </c>
    </row>
    <row r="19">
      <c r="A19" s="5" t="inlineStr">
        <is>
          <t>Cumulative free cash flow</t>
        </is>
      </c>
      <c r="B19" s="18">
        <f>B10</f>
        <v/>
      </c>
      <c r="C19" s="18">
        <f>B19+C10</f>
        <v/>
      </c>
      <c r="D19" s="18">
        <f>C19+D10</f>
        <v/>
      </c>
      <c r="E19" s="18">
        <f>D19+E10</f>
        <v/>
      </c>
      <c r="F19" s="18">
        <f>E19+F10</f>
        <v/>
      </c>
      <c r="G19" s="18">
        <f>F19+G10</f>
        <v/>
      </c>
      <c r="H19" s="18">
        <f>G19+H10</f>
        <v/>
      </c>
    </row>
    <row r="20">
      <c r="A20" s="5" t="inlineStr">
        <is>
          <t>Cumulative free cash flow before the Series A year (0 from that year)</t>
        </is>
      </c>
      <c r="B20" s="18">
        <f>IF(Assumptions!$B$6&lt;Assumptions!$B$26,B19,0)</f>
        <v/>
      </c>
      <c r="C20" s="18">
        <f>IF(Assumptions!$C$6&lt;Assumptions!$B$26,C19,0)</f>
        <v/>
      </c>
      <c r="D20" s="18">
        <f>IF(Assumptions!$D$6&lt;Assumptions!$B$26,D19,0)</f>
        <v/>
      </c>
      <c r="E20" s="18">
        <f>IF(Assumptions!$E$6&lt;Assumptions!$B$26,E19,0)</f>
        <v/>
      </c>
      <c r="F20" s="18">
        <f>IF(Assumptions!$F$6&lt;Assumptions!$B$26,F19,0)</f>
        <v/>
      </c>
      <c r="G20" s="18">
        <f>IF(Assumptions!$G$6&lt;Assumptions!$B$26,G19,0)</f>
        <v/>
      </c>
      <c r="H20" s="18">
        <f>IF(Assumptions!$H$6&lt;Assumptions!$B$26,H19,0)</f>
        <v/>
      </c>
    </row>
    <row r="21">
      <c r="A21" s="5" t="inlineStr">
        <is>
          <t>Cash if only the seed is raised (both tranches, no Series A)</t>
        </is>
      </c>
      <c r="B21" s="18">
        <f>Assumptions!$B$18+Assumptions!$B$21+Assumptions!$B$23+B19</f>
        <v/>
      </c>
      <c r="C21" s="18">
        <f>Assumptions!$B$18+Assumptions!$B$21+Assumptions!$B$23+C19</f>
        <v/>
      </c>
      <c r="D21" s="18">
        <f>Assumptions!$B$18+Assumptions!$B$21+Assumptions!$B$23+D19</f>
        <v/>
      </c>
      <c r="E21" s="18">
        <f>Assumptions!$B$18+Assumptions!$B$21+Assumptions!$B$23+E19</f>
        <v/>
      </c>
      <c r="F21" s="18">
        <f>Assumptions!$B$18+Assumptions!$B$21+Assumptions!$B$23+F19</f>
        <v/>
      </c>
      <c r="G21" s="18">
        <f>Assumptions!$B$18+Assumptions!$B$21+Assumptions!$B$23+G19</f>
        <v/>
      </c>
      <c r="H21" s="18">
        <f>Assumptions!$B$18+Assumptions!$B$21+Assumptions!$B$23+H19</f>
        <v/>
      </c>
    </row>
    <row r="22">
      <c r="A22" s="5" t="inlineStr">
        <is>
          <t>Month the seed-only cash runs out (linear within year)</t>
        </is>
      </c>
      <c r="B22" s="16">
        <f>IF(B21&lt;0,12*(Assumptions!$B$18+Assumptions!$B$21+Assumptions!$B$23)/(Assumptions!$B$18+Assumptions!$B$21+Assumptions!$B$23-B21),"")</f>
        <v/>
      </c>
      <c r="C22" s="16">
        <f>IF(AND(C21&lt;0,B21&gt;=0),12*(Assumptions!$C$6-1)+12*B21/(B21-C21),"")</f>
        <v/>
      </c>
      <c r="D22" s="16">
        <f>IF(AND(D21&lt;0,C21&gt;=0),12*(Assumptions!$D$6-1)+12*C21/(C21-D21),"")</f>
        <v/>
      </c>
      <c r="E22" s="16">
        <f>IF(AND(E21&lt;0,D21&gt;=0),12*(Assumptions!$E$6-1)+12*D21/(D21-E21),"")</f>
        <v/>
      </c>
      <c r="F22" s="16">
        <f>IF(AND(F21&lt;0,E21&gt;=0),12*(Assumptions!$F$6-1)+12*E21/(E21-F21),"")</f>
        <v/>
      </c>
      <c r="G22" s="16">
        <f>IF(AND(G21&lt;0,F21&gt;=0),12*(Assumptions!$G$6-1)+12*F21/(F21-G21),"")</f>
        <v/>
      </c>
      <c r="H22" s="16">
        <f>IF(AND(H21&lt;0,G21&gt;=0),12*(Assumptions!$H$6-1)+12*G21/(G21-H21),"")</f>
        <v/>
      </c>
    </row>
    <row r="23">
      <c r="A23" s="3" t="inlineStr">
        <is>
          <t>Funding requirement ($K)</t>
        </is>
      </c>
      <c r="B23" s="4" t="n"/>
      <c r="C23" s="4" t="n"/>
      <c r="D23" s="4" t="n"/>
      <c r="E23" s="4" t="n"/>
      <c r="F23" s="4" t="n"/>
      <c r="G23" s="4" t="n"/>
      <c r="H23" s="4" t="n"/>
      <c r="I23" s="4" t="n"/>
      <c r="J23" s="4" t="n"/>
    </row>
    <row r="24">
      <c r="A24" s="17" t="inlineStr">
        <is>
          <t>Seed need = deepest cash point before a mid-year Series A x (1 + buffer)</t>
        </is>
      </c>
      <c r="B24" s="18">
        <f>MAX(0,-MIN(0,MIN(B20:H20),SUMPRODUCT((Assumptions!$B$6:$H$6&lt;Assumptions!$B$26)*'Cash Flow'!$B$10:$H$10)+0.5*SUMPRODUCT((Assumptions!$B$6:$H$6=Assumptions!$B$26)*'Cash Flow'!$B$10:$H$10)))*(1+Assumptions!$B$20)</f>
        <v/>
      </c>
    </row>
    <row r="25">
      <c r="A25" s="17" t="inlineStr">
        <is>
          <t>Total equity need over 7 years = deepest cumulative free cash flow x (1 + buffer)</t>
        </is>
      </c>
      <c r="B25" s="18">
        <f>MAX(0,-MIN(B19:H19))*(1+Assumptions!$B$20)</f>
        <v/>
      </c>
    </row>
    <row r="26">
      <c r="A26" s="17" t="inlineStr">
        <is>
          <t>Lowest year-end cash with the planned rounds (must stay above 0)</t>
        </is>
      </c>
      <c r="B26" s="18">
        <f>MIN(B17:H17)</f>
        <v/>
      </c>
    </row>
    <row r="27">
      <c r="A27" s="17" t="inlineStr">
        <is>
          <t>Seed runway in months from close, without a Series A</t>
        </is>
      </c>
      <c r="B27" s="14">
        <f>IF(COUNT(B22:H22)=0,"beyond month 84",ROUNDDOWN(SUM(B22:H22),0))</f>
        <v/>
      </c>
    </row>
    <row r="28">
      <c r="A28" s="5" t="inlineStr">
        <is>
          <t>Year-1 average monthly net burn</t>
        </is>
      </c>
      <c r="B28" s="18">
        <f>B18</f>
        <v/>
      </c>
    </row>
    <row r="29">
      <c r="A29" s="3" t="inlineStr">
        <is>
          <t>Use of seed: years before the Series A year ($K)</t>
        </is>
      </c>
      <c r="B29" s="4" t="n"/>
      <c r="C29" s="4" t="n"/>
      <c r="D29" s="4" t="n"/>
      <c r="E29" s="4" t="n"/>
      <c r="F29" s="4" t="n"/>
      <c r="G29" s="4" t="n"/>
      <c r="H29" s="4" t="n"/>
      <c r="I29" s="4" t="n"/>
      <c r="J29" s="4" t="n"/>
    </row>
    <row r="30">
      <c r="A30" s="5" t="inlineStr">
        <is>
          <t>Operating expense: Engineering</t>
        </is>
      </c>
      <c r="B30" s="18">
        <f>SUMPRODUCT((Assumptions!$B$6:$H$6&lt;Assumptions!$B$26)*OpEx!$B$13:$H$13)</f>
        <v/>
      </c>
    </row>
    <row r="31">
      <c r="A31" s="5" t="inlineStr">
        <is>
          <t>Operating expense: Security</t>
        </is>
      </c>
      <c r="B31" s="18">
        <f>SUMPRODUCT((Assumptions!$B$6:$H$6&lt;Assumptions!$B$26)*OpEx!$B$14:$H$14)</f>
        <v/>
      </c>
    </row>
    <row r="32">
      <c r="A32" s="5" t="inlineStr">
        <is>
          <t>Operating expense: Sales</t>
        </is>
      </c>
      <c r="B32" s="18">
        <f>SUMPRODUCT((Assumptions!$B$6:$H$6&lt;Assumptions!$B$26)*OpEx!$B$15:$H$15)</f>
        <v/>
      </c>
    </row>
    <row r="33">
      <c r="A33" s="5" t="inlineStr">
        <is>
          <t>Operating expense: Marketing</t>
        </is>
      </c>
      <c r="B33" s="18">
        <f>SUMPRODUCT((Assumptions!$B$6:$H$6&lt;Assumptions!$B$26)*OpEx!$B$16:$H$16)</f>
        <v/>
      </c>
    </row>
    <row r="34">
      <c r="A34" s="5" t="inlineStr">
        <is>
          <t>Operating expense: G&amp;A</t>
        </is>
      </c>
      <c r="B34" s="18">
        <f>SUMPRODUCT((Assumptions!$B$6:$H$6&lt;Assumptions!$B$26)*OpEx!$B$17:$H$17)</f>
        <v/>
      </c>
    </row>
    <row r="35">
      <c r="A35" s="5" t="inlineStr">
        <is>
          <t>Cost of revenue (claims operations, hosting, variable)</t>
        </is>
      </c>
      <c r="B35" s="18">
        <f>SUMPRODUCT((Assumptions!$B$6:$H$6&lt;Assumptions!$B$26)*OpEx!$B$24:$H$24)</f>
        <v/>
      </c>
    </row>
    <row r="36">
      <c r="A36" s="5" t="inlineStr">
        <is>
          <t>Equipment capex</t>
        </is>
      </c>
      <c r="B36" s="18">
        <f>-SUMPRODUCT((Assumptions!$B$6:$H$6&lt;Assumptions!$B$26)*'Cash Flow'!$B$9:$H$9)</f>
        <v/>
      </c>
    </row>
    <row r="37">
      <c r="A37" s="5" t="inlineStr">
        <is>
          <t>Working capital (receivables build less payables)</t>
        </is>
      </c>
      <c r="B37" s="18">
        <f>-(SUMPRODUCT((Assumptions!$B$6:$H$6&lt;Assumptions!$B$26)*'Cash Flow'!$B$6:$H$6)+SUMPRODUCT((Assumptions!$B$6:$H$6&lt;Assumptions!$B$26)*'Cash Flow'!$B$7:$H$7))</f>
        <v/>
      </c>
    </row>
    <row r="38">
      <c r="A38" s="5" t="inlineStr">
        <is>
          <t>Income tax</t>
        </is>
      </c>
      <c r="B38" s="18">
        <f>SUMPRODUCT((Assumptions!$B$6:$H$6&lt;Assumptions!$B$26)*'P&amp;L'!$B$21:$H$21)</f>
        <v/>
      </c>
    </row>
    <row r="39">
      <c r="A39" s="17" t="inlineStr">
        <is>
          <t>Gross uses</t>
        </is>
      </c>
      <c r="B39" s="18">
        <f>SUM(B30:B38)</f>
        <v/>
      </c>
    </row>
    <row r="40">
      <c r="A40" s="5" t="inlineStr">
        <is>
          <t>Less revenue earned in the period</t>
        </is>
      </c>
      <c r="B40" s="18">
        <f>-SUMPRODUCT((Assumptions!$B$6:$H$6&lt;Assumptions!$B$26)*'P&amp;L'!$B$4:$H$4)</f>
        <v/>
      </c>
    </row>
    <row r="41">
      <c r="A41" s="5" t="inlineStr">
        <is>
          <t>Less interest income</t>
        </is>
      </c>
      <c r="B41" s="18">
        <f>-SUMPRODUCT((Assumptions!$B$6:$H$6&lt;Assumptions!$B$26)*'P&amp;L'!$B$18:$H$18)</f>
        <v/>
      </c>
    </row>
    <row r="42">
      <c r="A42" s="17" t="inlineStr">
        <is>
          <t>Net use of cash before the Series A year</t>
        </is>
      </c>
      <c r="B42" s="18">
        <f>SUM(B39:B41)</f>
        <v/>
      </c>
    </row>
    <row r="43">
      <c r="A43" s="5" t="inlineStr">
        <is>
          <t>Seed raised (both tranches)</t>
        </is>
      </c>
      <c r="B43" s="18">
        <f>Assumptions!$B$21+Assumptions!$B$23</f>
        <v/>
      </c>
    </row>
    <row r="44">
      <c r="A44" s="17" t="inlineStr">
        <is>
          <t>Seed remaining at the start of the Series A year</t>
        </is>
      </c>
      <c r="B44" s="18">
        <f>B43+Assumptions!$B$18-B42</f>
        <v/>
      </c>
    </row>
    <row r="45">
      <c r="A45" s="5" t="inlineStr">
        <is>
          <t>Seed investor ownership at the assumed pre-money (both tranches at one price, before option pool)</t>
        </is>
      </c>
      <c r="B45" s="12">
        <f>(Assumptions!$B$21+Assumptions!$B$23)/(Assumptions!$B$27+Assumptions!$B$21+Assumptions!$B$23)</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4" customWidth="1" min="1" max="1"/>
    <col width="12" customWidth="1" min="2" max="2"/>
    <col width="12" customWidth="1" min="3" max="3"/>
    <col width="12" customWidth="1" min="4" max="4"/>
    <col width="12" customWidth="1" min="5" max="5"/>
    <col width="12" customWidth="1" min="6" max="6"/>
    <col width="12" customWidth="1" min="7" max="7"/>
    <col width="12" customWidth="1" min="8" max="8"/>
  </cols>
  <sheetData>
    <row r="1">
      <c r="A1" s="1" t="inlineStr">
        <is>
          <t>Balance sheet at year end (active scenario)</t>
        </is>
      </c>
    </row>
    <row r="2">
      <c r="A2" t="inlineStr">
        <is>
          <t>Asset-light: scoup.ai never holds customer funds. The check row must be zero.</t>
        </is>
      </c>
    </row>
    <row r="3">
      <c r="A3" s="2" t="inlineStr">
        <is>
          <t>$K unless stated</t>
        </is>
      </c>
      <c r="B3" s="2">
        <f>"Y"&amp;Assumptions!$B$6</f>
        <v/>
      </c>
      <c r="C3" s="2">
        <f>"Y"&amp;Assumptions!$C$6</f>
        <v/>
      </c>
      <c r="D3" s="2">
        <f>"Y"&amp;Assumptions!$D$6</f>
        <v/>
      </c>
      <c r="E3" s="2">
        <f>"Y"&amp;Assumptions!$E$6</f>
        <v/>
      </c>
      <c r="F3" s="2">
        <f>"Y"&amp;Assumptions!$F$6</f>
        <v/>
      </c>
      <c r="G3" s="2">
        <f>"Y"&amp;Assumptions!$G$6</f>
        <v/>
      </c>
      <c r="H3" s="2">
        <f>"Y"&amp;Assumptions!$H$6</f>
        <v/>
      </c>
    </row>
    <row r="4">
      <c r="A4" s="5" t="inlineStr">
        <is>
          <t>Cash</t>
        </is>
      </c>
      <c r="B4" s="18">
        <f>'Cash Flow'!B17</f>
        <v/>
      </c>
      <c r="C4" s="18">
        <f>'Cash Flow'!C17</f>
        <v/>
      </c>
      <c r="D4" s="18">
        <f>'Cash Flow'!D17</f>
        <v/>
      </c>
      <c r="E4" s="18">
        <f>'Cash Flow'!E17</f>
        <v/>
      </c>
      <c r="F4" s="18">
        <f>'Cash Flow'!F17</f>
        <v/>
      </c>
      <c r="G4" s="18">
        <f>'Cash Flow'!G17</f>
        <v/>
      </c>
      <c r="H4" s="18">
        <f>'Cash Flow'!H17</f>
        <v/>
      </c>
    </row>
    <row r="5">
      <c r="A5" s="5" t="inlineStr">
        <is>
          <t>Accounts receivable = revenue x DSO / 365</t>
        </is>
      </c>
      <c r="B5" s="18">
        <f>'P&amp;L'!B4*Assumptions!$B$13/365</f>
        <v/>
      </c>
      <c r="C5" s="18">
        <f>'P&amp;L'!C4*Assumptions!$B$13/365</f>
        <v/>
      </c>
      <c r="D5" s="18">
        <f>'P&amp;L'!D4*Assumptions!$B$13/365</f>
        <v/>
      </c>
      <c r="E5" s="18">
        <f>'P&amp;L'!E4*Assumptions!$B$13/365</f>
        <v/>
      </c>
      <c r="F5" s="18">
        <f>'P&amp;L'!F4*Assumptions!$B$13/365</f>
        <v/>
      </c>
      <c r="G5" s="18">
        <f>'P&amp;L'!G4*Assumptions!$B$13/365</f>
        <v/>
      </c>
      <c r="H5" s="18">
        <f>'P&amp;L'!H4*Assumptions!$B$13/365</f>
        <v/>
      </c>
    </row>
    <row r="6">
      <c r="A6" s="5" t="inlineStr">
        <is>
          <t>Equipment, net</t>
        </is>
      </c>
      <c r="B6" s="18">
        <f>Headcount!B51-'P&amp;L'!B16</f>
        <v/>
      </c>
      <c r="C6" s="18">
        <f>B6+Headcount!C51-'P&amp;L'!C16</f>
        <v/>
      </c>
      <c r="D6" s="18">
        <f>C6+Headcount!D51-'P&amp;L'!D16</f>
        <v/>
      </c>
      <c r="E6" s="18">
        <f>D6+Headcount!E51-'P&amp;L'!E16</f>
        <v/>
      </c>
      <c r="F6" s="18">
        <f>E6+Headcount!F51-'P&amp;L'!F16</f>
        <v/>
      </c>
      <c r="G6" s="18">
        <f>F6+Headcount!G51-'P&amp;L'!G16</f>
        <v/>
      </c>
      <c r="H6" s="18">
        <f>G6+Headcount!H51-'P&amp;L'!H16</f>
        <v/>
      </c>
    </row>
    <row r="7">
      <c r="A7" s="17" t="inlineStr">
        <is>
          <t>Total assets</t>
        </is>
      </c>
      <c r="B7" s="18">
        <f>SUM(B4:B6)</f>
        <v/>
      </c>
      <c r="C7" s="18">
        <f>SUM(C4:C6)</f>
        <v/>
      </c>
      <c r="D7" s="18">
        <f>SUM(D4:D6)</f>
        <v/>
      </c>
      <c r="E7" s="18">
        <f>SUM(E4:E6)</f>
        <v/>
      </c>
      <c r="F7" s="18">
        <f>SUM(F4:F6)</f>
        <v/>
      </c>
      <c r="G7" s="18">
        <f>SUM(G4:G6)</f>
        <v/>
      </c>
      <c r="H7" s="18">
        <f>SUM(H4:H6)</f>
        <v/>
      </c>
    </row>
    <row r="8">
      <c r="A8" s="5" t="inlineStr">
        <is>
          <t>Accounts payable = non-payroll costs x DPO / 365</t>
        </is>
      </c>
      <c r="B8" s="18">
        <f>(OpEx!B22+OpEx!B23+OpEx!B6+OpEx!B7+OpEx!B8+OpEx!B9+OpEx!B10+OpEx!B11)*Assumptions!$B$14/365</f>
        <v/>
      </c>
      <c r="C8" s="18">
        <f>(OpEx!C22+OpEx!C23+OpEx!C6+OpEx!C7+OpEx!C8+OpEx!C9+OpEx!C10+OpEx!C11)*Assumptions!$B$14/365</f>
        <v/>
      </c>
      <c r="D8" s="18">
        <f>(OpEx!D22+OpEx!D23+OpEx!D6+OpEx!D7+OpEx!D8+OpEx!D9+OpEx!D10+OpEx!D11)*Assumptions!$B$14/365</f>
        <v/>
      </c>
      <c r="E8" s="18">
        <f>(OpEx!E22+OpEx!E23+OpEx!E6+OpEx!E7+OpEx!E8+OpEx!E9+OpEx!E10+OpEx!E11)*Assumptions!$B$14/365</f>
        <v/>
      </c>
      <c r="F8" s="18">
        <f>(OpEx!F22+OpEx!F23+OpEx!F6+OpEx!F7+OpEx!F8+OpEx!F9+OpEx!F10+OpEx!F11)*Assumptions!$B$14/365</f>
        <v/>
      </c>
      <c r="G8" s="18">
        <f>(OpEx!G22+OpEx!G23+OpEx!G6+OpEx!G7+OpEx!G8+OpEx!G9+OpEx!G10+OpEx!G11)*Assumptions!$B$14/365</f>
        <v/>
      </c>
      <c r="H8" s="18">
        <f>(OpEx!H22+OpEx!H23+OpEx!H6+OpEx!H7+OpEx!H8+OpEx!H9+OpEx!H10+OpEx!H11)*Assumptions!$B$14/365</f>
        <v/>
      </c>
    </row>
    <row r="9">
      <c r="A9" s="17" t="inlineStr">
        <is>
          <t>Total liabilities</t>
        </is>
      </c>
      <c r="B9" s="18">
        <f>B8</f>
        <v/>
      </c>
      <c r="C9" s="18">
        <f>C8</f>
        <v/>
      </c>
      <c r="D9" s="18">
        <f>D8</f>
        <v/>
      </c>
      <c r="E9" s="18">
        <f>E8</f>
        <v/>
      </c>
      <c r="F9" s="18">
        <f>F8</f>
        <v/>
      </c>
      <c r="G9" s="18">
        <f>G8</f>
        <v/>
      </c>
      <c r="H9" s="18">
        <f>H8</f>
        <v/>
      </c>
    </row>
    <row r="10">
      <c r="A10" s="5" t="inlineStr">
        <is>
          <t>Paid-in capital</t>
        </is>
      </c>
      <c r="B10" s="18">
        <f>Assumptions!$B$18+'Cash Flow'!B14</f>
        <v/>
      </c>
      <c r="C10" s="18">
        <f>B10+'Cash Flow'!C14</f>
        <v/>
      </c>
      <c r="D10" s="18">
        <f>C10+'Cash Flow'!D14</f>
        <v/>
      </c>
      <c r="E10" s="18">
        <f>D10+'Cash Flow'!E14</f>
        <v/>
      </c>
      <c r="F10" s="18">
        <f>E10+'Cash Flow'!F14</f>
        <v/>
      </c>
      <c r="G10" s="18">
        <f>F10+'Cash Flow'!G14</f>
        <v/>
      </c>
      <c r="H10" s="18">
        <f>G10+'Cash Flow'!H14</f>
        <v/>
      </c>
    </row>
    <row r="11">
      <c r="A11" s="5" t="inlineStr">
        <is>
          <t>Retained earnings (accumulated deficit)</t>
        </is>
      </c>
      <c r="B11" s="18">
        <f>'P&amp;L'!B22</f>
        <v/>
      </c>
      <c r="C11" s="18">
        <f>B11+'P&amp;L'!C22</f>
        <v/>
      </c>
      <c r="D11" s="18">
        <f>C11+'P&amp;L'!D22</f>
        <v/>
      </c>
      <c r="E11" s="18">
        <f>D11+'P&amp;L'!E22</f>
        <v/>
      </c>
      <c r="F11" s="18">
        <f>E11+'P&amp;L'!F22</f>
        <v/>
      </c>
      <c r="G11" s="18">
        <f>F11+'P&amp;L'!G22</f>
        <v/>
      </c>
      <c r="H11" s="18">
        <f>G11+'P&amp;L'!H22</f>
        <v/>
      </c>
    </row>
    <row r="12">
      <c r="A12" s="17" t="inlineStr">
        <is>
          <t>Total equity</t>
        </is>
      </c>
      <c r="B12" s="18">
        <f>B10+B11</f>
        <v/>
      </c>
      <c r="C12" s="18">
        <f>C10+C11</f>
        <v/>
      </c>
      <c r="D12" s="18">
        <f>D10+D11</f>
        <v/>
      </c>
      <c r="E12" s="18">
        <f>E10+E11</f>
        <v/>
      </c>
      <c r="F12" s="18">
        <f>F10+F11</f>
        <v/>
      </c>
      <c r="G12" s="18">
        <f>G10+G11</f>
        <v/>
      </c>
      <c r="H12" s="18">
        <f>H10+H11</f>
        <v/>
      </c>
    </row>
    <row r="13">
      <c r="A13" s="17" t="inlineStr">
        <is>
          <t>Total liabilities and equity</t>
        </is>
      </c>
      <c r="B13" s="18">
        <f>B9+B12</f>
        <v/>
      </c>
      <c r="C13" s="18">
        <f>C9+C12</f>
        <v/>
      </c>
      <c r="D13" s="18">
        <f>D9+D12</f>
        <v/>
      </c>
      <c r="E13" s="18">
        <f>E9+E12</f>
        <v/>
      </c>
      <c r="F13" s="18">
        <f>F9+F12</f>
        <v/>
      </c>
      <c r="G13" s="18">
        <f>G9+G12</f>
        <v/>
      </c>
      <c r="H13" s="18">
        <f>H9+H12</f>
        <v/>
      </c>
    </row>
    <row r="14">
      <c r="A14" s="5" t="inlineStr">
        <is>
          <t>Check: assets minus liabilities and equity (must be 0)</t>
        </is>
      </c>
      <c r="B14" s="18">
        <f>ROUND(B7-B13,6)</f>
        <v/>
      </c>
      <c r="C14" s="18">
        <f>ROUND(C7-C13,6)</f>
        <v/>
      </c>
      <c r="D14" s="18">
        <f>ROUND(D7-D13,6)</f>
        <v/>
      </c>
      <c r="E14" s="18">
        <f>ROUND(E7-E13,6)</f>
        <v/>
      </c>
      <c r="F14" s="18">
        <f>ROUND(F7-F13,6)</f>
        <v/>
      </c>
      <c r="G14" s="18">
        <f>ROUND(G7-G13,6)</f>
        <v/>
      </c>
      <c r="H14" s="18">
        <f>ROUND(H7-H13,6)</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2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4" customWidth="1" min="1" max="1"/>
    <col width="12" customWidth="1" min="2" max="2"/>
    <col width="12" customWidth="1" min="3" max="3"/>
    <col width="12" customWidth="1" min="4" max="4"/>
    <col width="12" customWidth="1" min="5" max="5"/>
    <col width="12" customWidth="1" min="6" max="6"/>
    <col width="12" customWidth="1" min="7" max="7"/>
    <col width="12" customWidth="1" min="8" max="8"/>
  </cols>
  <sheetData>
    <row r="1">
      <c r="A1" s="1" t="inlineStr">
        <is>
          <t>Unit economics (active scenario)</t>
        </is>
      </c>
    </row>
    <row r="2">
      <c r="A2" t="inlineStr">
        <is>
          <t>Direct segments (shippers + SME importers): CAC = sales and marketing cost excluding partner commission / new direct accounts. Carriers: CAC = partner commission / new carrier accounts. LTV = revenue per account x gross margin / churn (undiscounted). Company gross margin is negative in early years, so read years 3-7.</t>
        </is>
      </c>
    </row>
    <row r="3">
      <c r="A3" s="2" t="inlineStr">
        <is>
          <t>$K unless stated</t>
        </is>
      </c>
      <c r="B3" s="2">
        <f>"Y"&amp;Assumptions!$B$6</f>
        <v/>
      </c>
      <c r="C3" s="2">
        <f>"Y"&amp;Assumptions!$C$6</f>
        <v/>
      </c>
      <c r="D3" s="2">
        <f>"Y"&amp;Assumptions!$D$6</f>
        <v/>
      </c>
      <c r="E3" s="2">
        <f>"Y"&amp;Assumptions!$E$6</f>
        <v/>
      </c>
      <c r="F3" s="2">
        <f>"Y"&amp;Assumptions!$F$6</f>
        <v/>
      </c>
      <c r="G3" s="2">
        <f>"Y"&amp;Assumptions!$G$6</f>
        <v/>
      </c>
      <c r="H3" s="2">
        <f>"Y"&amp;Assumptions!$H$6</f>
        <v/>
      </c>
    </row>
    <row r="4">
      <c r="A4" s="5" t="inlineStr">
        <is>
          <t>New direct accounts won (shippers + SME importers)</t>
        </is>
      </c>
      <c r="B4" s="14">
        <f>Revenue!B5+Revenue!B12</f>
        <v/>
      </c>
      <c r="C4" s="14">
        <f>Revenue!C5+Revenue!C12</f>
        <v/>
      </c>
      <c r="D4" s="14">
        <f>Revenue!D5+Revenue!D12</f>
        <v/>
      </c>
      <c r="E4" s="14">
        <f>Revenue!E5+Revenue!E12</f>
        <v/>
      </c>
      <c r="F4" s="14">
        <f>Revenue!F5+Revenue!F12</f>
        <v/>
      </c>
      <c r="G4" s="14">
        <f>Revenue!G5+Revenue!G12</f>
        <v/>
      </c>
      <c r="H4" s="14">
        <f>Revenue!H5+Revenue!H12</f>
        <v/>
      </c>
    </row>
    <row r="5">
      <c r="A5" s="5" t="inlineStr">
        <is>
          <t>Sales and marketing cost excluding partner commission ($K)</t>
        </is>
      </c>
      <c r="B5" s="18">
        <f>OpEx!B19-OpEx!B11</f>
        <v/>
      </c>
      <c r="C5" s="18">
        <f>OpEx!C19-OpEx!C11</f>
        <v/>
      </c>
      <c r="D5" s="18">
        <f>OpEx!D19-OpEx!D11</f>
        <v/>
      </c>
      <c r="E5" s="18">
        <f>OpEx!E19-OpEx!E11</f>
        <v/>
      </c>
      <c r="F5" s="18">
        <f>OpEx!F19-OpEx!F11</f>
        <v/>
      </c>
      <c r="G5" s="18">
        <f>OpEx!G19-OpEx!G11</f>
        <v/>
      </c>
      <c r="H5" s="18">
        <f>OpEx!H19-OpEx!H11</f>
        <v/>
      </c>
    </row>
    <row r="6">
      <c r="A6" s="17" t="inlineStr">
        <is>
          <t>CAC per new account = S&amp;M / new accounts ($K)</t>
        </is>
      </c>
      <c r="B6" s="16">
        <f>IF(B4=0,0,B5/B4)</f>
        <v/>
      </c>
      <c r="C6" s="16">
        <f>IF(C4=0,0,C5/C4)</f>
        <v/>
      </c>
      <c r="D6" s="16">
        <f>IF(D4=0,0,D5/D4)</f>
        <v/>
      </c>
      <c r="E6" s="16">
        <f>IF(E4=0,0,E5/E4)</f>
        <v/>
      </c>
      <c r="F6" s="16">
        <f>IF(F4=0,0,F5/F4)</f>
        <v/>
      </c>
      <c r="G6" s="16">
        <f>IF(G4=0,0,G5/G4)</f>
        <v/>
      </c>
      <c r="H6" s="16">
        <f>IF(H4=0,0,H5/H4)</f>
        <v/>
      </c>
    </row>
    <row r="7">
      <c r="A7" s="5" t="inlineStr">
        <is>
          <t>Revenue per direct account = (shipper + importer ARR) / their accounts ($K)</t>
        </is>
      </c>
      <c r="B7" s="16">
        <f>IF(Revenue!B7+Revenue!B14=0,0,(Revenue!B11+Revenue!B18)/(Revenue!B7+Revenue!B14))</f>
        <v/>
      </c>
      <c r="C7" s="16">
        <f>IF(Revenue!C7+Revenue!C14=0,0,(Revenue!C11+Revenue!C18)/(Revenue!C7+Revenue!C14))</f>
        <v/>
      </c>
      <c r="D7" s="16">
        <f>IF(Revenue!D7+Revenue!D14=0,0,(Revenue!D11+Revenue!D18)/(Revenue!D7+Revenue!D14))</f>
        <v/>
      </c>
      <c r="E7" s="16">
        <f>IF(Revenue!E7+Revenue!E14=0,0,(Revenue!E11+Revenue!E18)/(Revenue!E7+Revenue!E14))</f>
        <v/>
      </c>
      <c r="F7" s="16">
        <f>IF(Revenue!F7+Revenue!F14=0,0,(Revenue!F11+Revenue!F18)/(Revenue!F7+Revenue!F14))</f>
        <v/>
      </c>
      <c r="G7" s="16">
        <f>IF(Revenue!G7+Revenue!G14=0,0,(Revenue!G11+Revenue!G18)/(Revenue!G7+Revenue!G14))</f>
        <v/>
      </c>
      <c r="H7" s="16">
        <f>IF(Revenue!H7+Revenue!H14=0,0,(Revenue!H11+Revenue!H18)/(Revenue!H7+Revenue!H14))</f>
        <v/>
      </c>
    </row>
    <row r="8">
      <c r="A8" s="5" t="inlineStr">
        <is>
          <t>Gross margin (company level)</t>
        </is>
      </c>
      <c r="B8" s="12">
        <f>'P&amp;L'!B7</f>
        <v/>
      </c>
      <c r="C8" s="12">
        <f>'P&amp;L'!C7</f>
        <v/>
      </c>
      <c r="D8" s="12">
        <f>'P&amp;L'!D7</f>
        <v/>
      </c>
      <c r="E8" s="12">
        <f>'P&amp;L'!E7</f>
        <v/>
      </c>
      <c r="F8" s="12">
        <f>'P&amp;L'!F7</f>
        <v/>
      </c>
      <c r="G8" s="12">
        <f>'P&amp;L'!G7</f>
        <v/>
      </c>
      <c r="H8" s="12">
        <f>'P&amp;L'!H7</f>
        <v/>
      </c>
    </row>
    <row r="9">
      <c r="A9" s="5" t="inlineStr">
        <is>
          <t>Gross profit per account per year = revenue per account x gross margin ($K)</t>
        </is>
      </c>
      <c r="B9" s="16">
        <f>B7*B8</f>
        <v/>
      </c>
      <c r="C9" s="16">
        <f>C7*C8</f>
        <v/>
      </c>
      <c r="D9" s="16">
        <f>D7*D8</f>
        <v/>
      </c>
      <c r="E9" s="16">
        <f>E7*E8</f>
        <v/>
      </c>
      <c r="F9" s="16">
        <f>F7*F8</f>
        <v/>
      </c>
      <c r="G9" s="16">
        <f>G7*G8</f>
        <v/>
      </c>
      <c r="H9" s="16">
        <f>H7*H8</f>
        <v/>
      </c>
    </row>
    <row r="10">
      <c r="A10" s="5" t="inlineStr">
        <is>
          <t>Expected account lifetime (years) = 1 / churn</t>
        </is>
      </c>
      <c r="B10" s="16">
        <f>1/Assumptions!$E$45</f>
        <v/>
      </c>
      <c r="C10" s="16">
        <f>1/Assumptions!$E$45</f>
        <v/>
      </c>
      <c r="D10" s="16">
        <f>1/Assumptions!$E$45</f>
        <v/>
      </c>
      <c r="E10" s="16">
        <f>1/Assumptions!$E$45</f>
        <v/>
      </c>
      <c r="F10" s="16">
        <f>1/Assumptions!$E$45</f>
        <v/>
      </c>
      <c r="G10" s="16">
        <f>1/Assumptions!$E$45</f>
        <v/>
      </c>
      <c r="H10" s="16">
        <f>1/Assumptions!$E$45</f>
        <v/>
      </c>
    </row>
    <row r="11">
      <c r="A11" s="17" t="inlineStr">
        <is>
          <t>LTV = gross profit per account / churn ($K)</t>
        </is>
      </c>
      <c r="B11" s="16">
        <f>B9*B10</f>
        <v/>
      </c>
      <c r="C11" s="16">
        <f>C9*C10</f>
        <v/>
      </c>
      <c r="D11" s="16">
        <f>D9*D10</f>
        <v/>
      </c>
      <c r="E11" s="16">
        <f>E9*E10</f>
        <v/>
      </c>
      <c r="F11" s="16">
        <f>F9*F10</f>
        <v/>
      </c>
      <c r="G11" s="16">
        <f>G9*G10</f>
        <v/>
      </c>
      <c r="H11" s="16">
        <f>H9*H10</f>
        <v/>
      </c>
    </row>
    <row r="12">
      <c r="A12" s="17" t="inlineStr">
        <is>
          <t>LTV : CAC</t>
        </is>
      </c>
      <c r="B12" s="19">
        <f>IF(OR(B6&lt;=0,B11&lt;=0),"n/m",B11/B6)</f>
        <v/>
      </c>
      <c r="C12" s="19">
        <f>IF(OR(C6&lt;=0,C11&lt;=0),"n/m",C11/C6)</f>
        <v/>
      </c>
      <c r="D12" s="19">
        <f>IF(OR(D6&lt;=0,D11&lt;=0),"n/m",D11/D6)</f>
        <v/>
      </c>
      <c r="E12" s="19">
        <f>IF(OR(E6&lt;=0,E11&lt;=0),"n/m",E11/E6)</f>
        <v/>
      </c>
      <c r="F12" s="19">
        <f>IF(OR(F6&lt;=0,F11&lt;=0),"n/m",F11/F6)</f>
        <v/>
      </c>
      <c r="G12" s="19">
        <f>IF(OR(G6&lt;=0,G11&lt;=0),"n/m",G11/G6)</f>
        <v/>
      </c>
      <c r="H12" s="19">
        <f>IF(OR(H6&lt;=0,H11&lt;=0),"n/m",H11/H6)</f>
        <v/>
      </c>
    </row>
    <row r="13">
      <c r="A13" s="17" t="inlineStr">
        <is>
          <t>CAC payback = CAC / (gross profit per account / 12), months</t>
        </is>
      </c>
      <c r="B13" s="16">
        <f>IF(B9&lt;=0,"n/m",B6/(B9/12))</f>
        <v/>
      </c>
      <c r="C13" s="16">
        <f>IF(C9&lt;=0,"n/m",C6/(C9/12))</f>
        <v/>
      </c>
      <c r="D13" s="16">
        <f>IF(D9&lt;=0,"n/m",D6/(D9/12))</f>
        <v/>
      </c>
      <c r="E13" s="16">
        <f>IF(E9&lt;=0,"n/m",E6/(E9/12))</f>
        <v/>
      </c>
      <c r="F13" s="16">
        <f>IF(F9&lt;=0,"n/m",F6/(F9/12))</f>
        <v/>
      </c>
      <c r="G13" s="16">
        <f>IF(G9&lt;=0,"n/m",G6/(G9/12))</f>
        <v/>
      </c>
      <c r="H13" s="16">
        <f>IF(H9&lt;=0,"n/m",H6/(H9/12))</f>
        <v/>
      </c>
    </row>
    <row r="14">
      <c r="A14" s="5" t="inlineStr">
        <is>
          <t>Net revenue retention</t>
        </is>
      </c>
      <c r="B14" s="12">
        <f>Revenue!B36</f>
        <v/>
      </c>
      <c r="C14" s="12">
        <f>Revenue!C36</f>
        <v/>
      </c>
      <c r="D14" s="12">
        <f>Revenue!D36</f>
        <v/>
      </c>
      <c r="E14" s="12">
        <f>Revenue!E36</f>
        <v/>
      </c>
      <c r="F14" s="12">
        <f>Revenue!F36</f>
        <v/>
      </c>
      <c r="G14" s="12">
        <f>Revenue!G36</f>
        <v/>
      </c>
      <c r="H14" s="12">
        <f>Revenue!H36</f>
        <v/>
      </c>
    </row>
    <row r="15">
      <c r="A15" s="5" t="inlineStr">
        <is>
          <t>S&amp;M per $1 of new ARR = S&amp;M / (new accounts x revenue per account)</t>
        </is>
      </c>
      <c r="B15" s="13">
        <f>IF(B4=0,0,B5/(B4*B7))</f>
        <v/>
      </c>
      <c r="C15" s="13">
        <f>IF(C4=0,0,C5/(C4*C7))</f>
        <v/>
      </c>
      <c r="D15" s="13">
        <f>IF(D4=0,0,D5/(D4*D7))</f>
        <v/>
      </c>
      <c r="E15" s="13">
        <f>IF(E4=0,0,E5/(E4*E7))</f>
        <v/>
      </c>
      <c r="F15" s="13">
        <f>IF(F4=0,0,F5/(F4*F7))</f>
        <v/>
      </c>
      <c r="G15" s="13">
        <f>IF(G4=0,0,G5/(G4*G7))</f>
        <v/>
      </c>
      <c r="H15" s="13">
        <f>IF(H4=0,0,H5/(H4*H7))</f>
        <v/>
      </c>
    </row>
    <row r="16">
      <c r="A16" s="5" t="inlineStr">
        <is>
          <t>CAC at the $2.00 benchmark = 2.00 x revenue per account ($K)</t>
        </is>
      </c>
      <c r="B16" s="16">
        <f>Assumptions!$B$28*B7</f>
        <v/>
      </c>
      <c r="C16" s="16">
        <f>Assumptions!$B$28*C7</f>
        <v/>
      </c>
      <c r="D16" s="16">
        <f>Assumptions!$B$28*D7</f>
        <v/>
      </c>
      <c r="E16" s="16">
        <f>Assumptions!$B$28*E7</f>
        <v/>
      </c>
      <c r="F16" s="16">
        <f>Assumptions!$B$28*F7</f>
        <v/>
      </c>
      <c r="G16" s="16">
        <f>Assumptions!$B$28*G7</f>
        <v/>
      </c>
      <c r="H16" s="16">
        <f>Assumptions!$B$28*H7</f>
        <v/>
      </c>
    </row>
    <row r="17">
      <c r="A17" s="5" t="inlineStr">
        <is>
          <t>LTV : CAC at the benchmark CAC</t>
        </is>
      </c>
      <c r="B17" s="19">
        <f>IF(B11&lt;=0,"n/m",B11/B16)</f>
        <v/>
      </c>
      <c r="C17" s="19">
        <f>IF(C11&lt;=0,"n/m",C11/C16)</f>
        <v/>
      </c>
      <c r="D17" s="19">
        <f>IF(D11&lt;=0,"n/m",D11/D16)</f>
        <v/>
      </c>
      <c r="E17" s="19">
        <f>IF(E11&lt;=0,"n/m",E11/E16)</f>
        <v/>
      </c>
      <c r="F17" s="19">
        <f>IF(F11&lt;=0,"n/m",F11/F16)</f>
        <v/>
      </c>
      <c r="G17" s="19">
        <f>IF(G11&lt;=0,"n/m",G11/G16)</f>
        <v/>
      </c>
      <c r="H17" s="19">
        <f>IF(H11&lt;=0,"n/m",H11/H16)</f>
        <v/>
      </c>
    </row>
    <row r="18">
      <c r="A18" s="5" t="inlineStr">
        <is>
          <t>CAC payback at the benchmark CAC, months</t>
        </is>
      </c>
      <c r="B18" s="16">
        <f>IF(B9&lt;=0,"n/m",B16/(B9/12))</f>
        <v/>
      </c>
      <c r="C18" s="16">
        <f>IF(C9&lt;=0,"n/m",C16/(C9/12))</f>
        <v/>
      </c>
      <c r="D18" s="16">
        <f>IF(D9&lt;=0,"n/m",D16/(D9/12))</f>
        <v/>
      </c>
      <c r="E18" s="16">
        <f>IF(E9&lt;=0,"n/m",E16/(E9/12))</f>
        <v/>
      </c>
      <c r="F18" s="16">
        <f>IF(F9&lt;=0,"n/m",F16/(F9/12))</f>
        <v/>
      </c>
      <c r="G18" s="16">
        <f>IF(G9&lt;=0,"n/m",G16/(G9/12))</f>
        <v/>
      </c>
      <c r="H18" s="16">
        <f>IF(H9&lt;=0,"n/m",H16/(H9/12))</f>
        <v/>
      </c>
    </row>
    <row r="19">
      <c r="A19" s="3" t="inlineStr">
        <is>
          <t>Carriers (partner-led segment)</t>
        </is>
      </c>
      <c r="B19" s="4" t="n"/>
      <c r="C19" s="4" t="n"/>
      <c r="D19" s="4" t="n"/>
      <c r="E19" s="4" t="n"/>
      <c r="F19" s="4" t="n"/>
      <c r="G19" s="4" t="n"/>
      <c r="H19" s="4" t="n"/>
      <c r="I19" s="4" t="n"/>
      <c r="J19" s="4" t="n"/>
    </row>
    <row r="20">
      <c r="A20" s="5" t="inlineStr">
        <is>
          <t>New carrier accounts</t>
        </is>
      </c>
      <c r="B20" s="14">
        <f>Revenue!B19</f>
        <v/>
      </c>
      <c r="C20" s="14">
        <f>Revenue!C19</f>
        <v/>
      </c>
      <c r="D20" s="14">
        <f>Revenue!D19</f>
        <v/>
      </c>
      <c r="E20" s="14">
        <f>Revenue!E19</f>
        <v/>
      </c>
      <c r="F20" s="14">
        <f>Revenue!F19</f>
        <v/>
      </c>
      <c r="G20" s="14">
        <f>Revenue!G19</f>
        <v/>
      </c>
      <c r="H20" s="14">
        <f>Revenue!H19</f>
        <v/>
      </c>
    </row>
    <row r="21">
      <c r="A21" s="5" t="inlineStr">
        <is>
          <t>Carrier CAC = partner commission / new carrier accounts ($K)</t>
        </is>
      </c>
      <c r="B21" s="16">
        <f>IF(B20=0,0,OpEx!B11/B20)</f>
        <v/>
      </c>
      <c r="C21" s="16">
        <f>IF(C20=0,0,OpEx!C11/C20)</f>
        <v/>
      </c>
      <c r="D21" s="16">
        <f>IF(D20=0,0,OpEx!D11/D20)</f>
        <v/>
      </c>
      <c r="E21" s="16">
        <f>IF(E20=0,0,OpEx!E11/E20)</f>
        <v/>
      </c>
      <c r="F21" s="16">
        <f>IF(F20=0,0,OpEx!F11/F20)</f>
        <v/>
      </c>
      <c r="G21" s="16">
        <f>IF(G20=0,0,OpEx!G11/G20)</f>
        <v/>
      </c>
      <c r="H21" s="16">
        <f>IF(H20=0,0,OpEx!H11/H20)</f>
        <v/>
      </c>
    </row>
    <row r="22">
      <c r="A22" s="5" t="inlineStr">
        <is>
          <t>Carrier revenue per account ($K)</t>
        </is>
      </c>
      <c r="B22" s="16">
        <f>Revenue!B23</f>
        <v/>
      </c>
      <c r="C22" s="16">
        <f>Revenue!C23</f>
        <v/>
      </c>
      <c r="D22" s="16">
        <f>Revenue!D23</f>
        <v/>
      </c>
      <c r="E22" s="16">
        <f>Revenue!E23</f>
        <v/>
      </c>
      <c r="F22" s="16">
        <f>Revenue!F23</f>
        <v/>
      </c>
      <c r="G22" s="16">
        <f>Revenue!G23</f>
        <v/>
      </c>
      <c r="H22" s="16">
        <f>Revenue!H23</f>
        <v/>
      </c>
    </row>
    <row r="23">
      <c r="A23" s="5" t="inlineStr">
        <is>
          <t>Carrier LTV = revenue per account x gross margin / churn ($K)</t>
        </is>
      </c>
      <c r="B23" s="16">
        <f>B22*B8/Assumptions!$E$45</f>
        <v/>
      </c>
      <c r="C23" s="16">
        <f>C22*C8/Assumptions!$E$45</f>
        <v/>
      </c>
      <c r="D23" s="16">
        <f>D22*D8/Assumptions!$E$45</f>
        <v/>
      </c>
      <c r="E23" s="16">
        <f>E22*E8/Assumptions!$E$45</f>
        <v/>
      </c>
      <c r="F23" s="16">
        <f>F22*F8/Assumptions!$E$45</f>
        <v/>
      </c>
      <c r="G23" s="16">
        <f>G22*G8/Assumptions!$E$45</f>
        <v/>
      </c>
      <c r="H23" s="16">
        <f>H22*H8/Assumptions!$E$45</f>
        <v/>
      </c>
    </row>
    <row r="24">
      <c r="A24" s="3" t="inlineStr">
        <is>
          <t>Pessimistic acquisition cost (direct segments)</t>
        </is>
      </c>
      <c r="B24" s="4" t="n"/>
      <c r="C24" s="4" t="n"/>
      <c r="D24" s="4" t="n"/>
      <c r="E24" s="4" t="n"/>
      <c r="F24" s="4" t="n"/>
      <c r="G24" s="4" t="n"/>
      <c r="H24" s="4" t="n"/>
      <c r="I24" s="4" t="n"/>
      <c r="J24" s="4" t="n"/>
    </row>
    <row r="25">
      <c r="A25" s="5" t="inlineStr">
        <is>
          <t>Pessimistic CAC: paid-media cost per small-company customer ($K, Metadata 2026)</t>
        </is>
      </c>
      <c r="B25" s="16">
        <f>Assumptions!$B$33</f>
        <v/>
      </c>
      <c r="C25" s="16">
        <f>Assumptions!$B$33</f>
        <v/>
      </c>
      <c r="D25" s="16">
        <f>Assumptions!$B$33</f>
        <v/>
      </c>
      <c r="E25" s="16">
        <f>Assumptions!$B$33</f>
        <v/>
      </c>
      <c r="F25" s="16">
        <f>Assumptions!$B$33</f>
        <v/>
      </c>
      <c r="G25" s="16">
        <f>Assumptions!$B$33</f>
        <v/>
      </c>
      <c r="H25" s="16">
        <f>Assumptions!$B$33</f>
        <v/>
      </c>
    </row>
    <row r="26">
      <c r="A26" s="5" t="inlineStr">
        <is>
          <t>LTV : CAC at the pessimistic CAC</t>
        </is>
      </c>
      <c r="B26" s="19">
        <f>IF(B11&lt;=0,"n/m",B11/B25)</f>
        <v/>
      </c>
      <c r="C26" s="19">
        <f>IF(C11&lt;=0,"n/m",C11/C25)</f>
        <v/>
      </c>
      <c r="D26" s="19">
        <f>IF(D11&lt;=0,"n/m",D11/D25)</f>
        <v/>
      </c>
      <c r="E26" s="19">
        <f>IF(E11&lt;=0,"n/m",E11/E25)</f>
        <v/>
      </c>
      <c r="F26" s="19">
        <f>IF(F11&lt;=0,"n/m",F11/F25)</f>
        <v/>
      </c>
      <c r="G26" s="19">
        <f>IF(G11&lt;=0,"n/m",G11/G25)</f>
        <v/>
      </c>
      <c r="H26" s="19">
        <f>IF(H11&lt;=0,"n/m",H11/H25)</f>
        <v/>
      </c>
    </row>
    <row r="27">
      <c r="A27" s="5" t="inlineStr">
        <is>
          <t>CAC payback at the pessimistic CAC, months</t>
        </is>
      </c>
      <c r="B27" s="16">
        <f>IF(B9&lt;=0,"n/m",B25/(B9/12))</f>
        <v/>
      </c>
      <c r="C27" s="16">
        <f>IF(C9&lt;=0,"n/m",C25/(C9/12))</f>
        <v/>
      </c>
      <c r="D27" s="16">
        <f>IF(D9&lt;=0,"n/m",D25/(D9/12))</f>
        <v/>
      </c>
      <c r="E27" s="16">
        <f>IF(E9&lt;=0,"n/m",E25/(E9/12))</f>
        <v/>
      </c>
      <c r="F27" s="16">
        <f>IF(F9&lt;=0,"n/m",F25/(F9/12))</f>
        <v/>
      </c>
      <c r="G27" s="16">
        <f>IF(G9&lt;=0,"n/m",G25/(G9/12))</f>
        <v/>
      </c>
      <c r="H27" s="16">
        <f>IF(H9&lt;=0,"n/m",H25/(H9/12))</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231"/>
  <sheetViews>
    <sheetView workbookViewId="0">
      <selection activeCell="A1" sqref="A1"/>
    </sheetView>
  </sheetViews>
  <sheetFormatPr baseColWidth="8" defaultRowHeight="15"/>
  <cols>
    <col width="60" customWidth="1" min="1" max="1"/>
    <col width="12" customWidth="1" min="2" max="2"/>
    <col width="12" customWidth="1" min="3" max="3"/>
    <col width="12" customWidth="1" min="4" max="4"/>
    <col width="12" customWidth="1" min="5" max="5"/>
    <col width="12" customWidth="1" min="6" max="6"/>
    <col width="12" customWidth="1" min="7" max="7"/>
    <col width="12" customWidth="1" min="8" max="8"/>
  </cols>
  <sheetData>
    <row r="1">
      <c r="A1" s="1" t="inlineStr">
        <is>
          <t>Scenarios: Base, Bull and Bear computed side by side ($K)</t>
        </is>
      </c>
    </row>
    <row r="2">
      <c r="A2" t="inlineStr">
        <is>
          <t>Same logic as the main tabs, run once per scenario column of Assumptions. The scenarios differ only in the inputs listed under Scenario inputs on Assumptions. Check rows at the bottom compare the active scenario with the main tabs.</t>
        </is>
      </c>
    </row>
    <row r="3"/>
    <row r="4">
      <c r="A4" s="2" t="inlineStr">
        <is>
          <t>Base case</t>
        </is>
      </c>
      <c r="B4" s="2">
        <f>"Y"&amp;Assumptions!$B$6</f>
        <v/>
      </c>
      <c r="C4" s="2">
        <f>"Y"&amp;Assumptions!$C$6</f>
        <v/>
      </c>
      <c r="D4" s="2">
        <f>"Y"&amp;Assumptions!$D$6</f>
        <v/>
      </c>
      <c r="E4" s="2">
        <f>"Y"&amp;Assumptions!$E$6</f>
        <v/>
      </c>
      <c r="F4" s="2">
        <f>"Y"&amp;Assumptions!$F$6</f>
        <v/>
      </c>
      <c r="G4" s="2">
        <f>"Y"&amp;Assumptions!$G$6</f>
        <v/>
      </c>
      <c r="H4" s="2">
        <f>"Y"&amp;Assumptions!$H$6</f>
        <v/>
      </c>
    </row>
    <row r="5">
      <c r="A5" s="5" t="inlineStr">
        <is>
          <t>Shippers (mid-market): new accounts</t>
        </is>
      </c>
      <c r="B5" s="14">
        <f>ROUND(Assumptions!$B$52*Assumptions!$B$39,0)</f>
        <v/>
      </c>
      <c r="C5" s="14">
        <f>ROUND(Assumptions!$C$52*Assumptions!$B$39,0)</f>
        <v/>
      </c>
      <c r="D5" s="14">
        <f>ROUND(Assumptions!$D$52*Assumptions!$B$39,0)</f>
        <v/>
      </c>
      <c r="E5" s="14">
        <f>ROUND(Assumptions!$E$52*Assumptions!$B$39,0)</f>
        <v/>
      </c>
      <c r="F5" s="14">
        <f>ROUND(Assumptions!$F$52*Assumptions!$B$39,0)</f>
        <v/>
      </c>
      <c r="G5" s="14">
        <f>ROUND(Assumptions!$G$52*Assumptions!$B$39,0)</f>
        <v/>
      </c>
      <c r="H5" s="14">
        <f>ROUND(Assumptions!$H$52*Assumptions!$B$39,0)</f>
        <v/>
      </c>
    </row>
    <row r="6">
      <c r="A6" s="5" t="inlineStr">
        <is>
          <t>Shippers (mid-market): accounts lost = ROUND(prior year-end x churn)</t>
        </is>
      </c>
      <c r="B6" s="14">
        <f>0</f>
        <v/>
      </c>
      <c r="C6" s="14">
        <f>ROUND(B7*Assumptions!$B$45,0)</f>
        <v/>
      </c>
      <c r="D6" s="14">
        <f>ROUND(C7*Assumptions!$B$45,0)</f>
        <v/>
      </c>
      <c r="E6" s="14">
        <f>ROUND(D7*Assumptions!$B$45,0)</f>
        <v/>
      </c>
      <c r="F6" s="14">
        <f>ROUND(E7*Assumptions!$B$45,0)</f>
        <v/>
      </c>
      <c r="G6" s="14">
        <f>ROUND(F7*Assumptions!$B$45,0)</f>
        <v/>
      </c>
      <c r="H6" s="14">
        <f>ROUND(G7*Assumptions!$B$45,0)</f>
        <v/>
      </c>
    </row>
    <row r="7">
      <c r="A7" s="17" t="inlineStr">
        <is>
          <t>Shippers (mid-market): accounts at year end</t>
        </is>
      </c>
      <c r="B7" s="14">
        <f>B5</f>
        <v/>
      </c>
      <c r="C7" s="14">
        <f>B7-C6+C5</f>
        <v/>
      </c>
      <c r="D7" s="14">
        <f>C7-D6+D5</f>
        <v/>
      </c>
      <c r="E7" s="14">
        <f>D7-E6+E5</f>
        <v/>
      </c>
      <c r="F7" s="14">
        <f>E7-F6+F5</f>
        <v/>
      </c>
      <c r="G7" s="14">
        <f>F7-G6+G5</f>
        <v/>
      </c>
      <c r="H7" s="14">
        <f>G7-H6+H5</f>
        <v/>
      </c>
    </row>
    <row r="8">
      <c r="A8" s="5" t="inlineStr">
        <is>
          <t>Shippers (mid-market): average accounts</t>
        </is>
      </c>
      <c r="B8" s="16">
        <f>B7/2</f>
        <v/>
      </c>
      <c r="C8" s="16">
        <f>(B7+C7)/2</f>
        <v/>
      </c>
      <c r="D8" s="16">
        <f>(C7+D7)/2</f>
        <v/>
      </c>
      <c r="E8" s="16">
        <f>(D7+E7)/2</f>
        <v/>
      </c>
      <c r="F8" s="16">
        <f>(E7+F7)/2</f>
        <v/>
      </c>
      <c r="G8" s="16">
        <f>(F7+G7)/2</f>
        <v/>
      </c>
      <c r="H8" s="16">
        <f>(G7+H7)/2</f>
        <v/>
      </c>
    </row>
    <row r="9">
      <c r="A9" s="5" t="inlineStr">
        <is>
          <t>Shippers (mid-market): revenue per account ($K)</t>
        </is>
      </c>
      <c r="B9" s="16">
        <f>(Assumptions!$B$35+Assumptions!$B$36*Assumptions!$B$40*Assumptions!$B$37)*Assumptions!$B$46</f>
        <v/>
      </c>
      <c r="C9" s="16">
        <f>(Assumptions!$C$35+Assumptions!$C$36*Assumptions!$B$40*Assumptions!$C$37)*Assumptions!$B$46</f>
        <v/>
      </c>
      <c r="D9" s="16">
        <f>(Assumptions!$D$35+Assumptions!$D$36*Assumptions!$B$40*Assumptions!$D$37)*Assumptions!$B$46</f>
        <v/>
      </c>
      <c r="E9" s="16">
        <f>(Assumptions!$E$35+Assumptions!$E$36*Assumptions!$B$40*Assumptions!$E$37)*Assumptions!$B$46</f>
        <v/>
      </c>
      <c r="F9" s="16">
        <f>(Assumptions!$F$35+Assumptions!$F$36*Assumptions!$B$40*Assumptions!$F$37)*Assumptions!$B$46</f>
        <v/>
      </c>
      <c r="G9" s="16">
        <f>(Assumptions!$G$35+Assumptions!$G$36*Assumptions!$B$40*Assumptions!$G$37)*Assumptions!$B$46</f>
        <v/>
      </c>
      <c r="H9" s="16">
        <f>(Assumptions!$H$35+Assumptions!$H$36*Assumptions!$B$40*Assumptions!$H$37)*Assumptions!$B$46</f>
        <v/>
      </c>
    </row>
    <row r="10">
      <c r="A10" s="5" t="inlineStr">
        <is>
          <t>Shippers (mid-market): revenue</t>
        </is>
      </c>
      <c r="B10" s="18">
        <f>B8*B9</f>
        <v/>
      </c>
      <c r="C10" s="18">
        <f>C8*C9</f>
        <v/>
      </c>
      <c r="D10" s="18">
        <f>D8*D9</f>
        <v/>
      </c>
      <c r="E10" s="18">
        <f>E8*E9</f>
        <v/>
      </c>
      <c r="F10" s="18">
        <f>F8*F9</f>
        <v/>
      </c>
      <c r="G10" s="18">
        <f>G8*G9</f>
        <v/>
      </c>
      <c r="H10" s="18">
        <f>H8*H9</f>
        <v/>
      </c>
    </row>
    <row r="11">
      <c r="A11" s="5" t="inlineStr">
        <is>
          <t>Shippers (mid-market): ARR at year end</t>
        </is>
      </c>
      <c r="B11" s="18">
        <f>B7*B9</f>
        <v/>
      </c>
      <c r="C11" s="18">
        <f>C7*C9</f>
        <v/>
      </c>
      <c r="D11" s="18">
        <f>D7*D9</f>
        <v/>
      </c>
      <c r="E11" s="18">
        <f>E7*E9</f>
        <v/>
      </c>
      <c r="F11" s="18">
        <f>F7*F9</f>
        <v/>
      </c>
      <c r="G11" s="18">
        <f>G7*G9</f>
        <v/>
      </c>
      <c r="H11" s="18">
        <f>H7*H9</f>
        <v/>
      </c>
    </row>
    <row r="12">
      <c r="A12" s="5" t="inlineStr">
        <is>
          <t>SME importers: new accounts</t>
        </is>
      </c>
      <c r="B12" s="14">
        <f>Assumptions!$B$52-ROUND(Assumptions!$B$52*Assumptions!$B$39,0)</f>
        <v/>
      </c>
      <c r="C12" s="14">
        <f>Assumptions!$C$52-ROUND(Assumptions!$C$52*Assumptions!$B$39,0)</f>
        <v/>
      </c>
      <c r="D12" s="14">
        <f>Assumptions!$D$52-ROUND(Assumptions!$D$52*Assumptions!$B$39,0)</f>
        <v/>
      </c>
      <c r="E12" s="14">
        <f>Assumptions!$E$52-ROUND(Assumptions!$E$52*Assumptions!$B$39,0)</f>
        <v/>
      </c>
      <c r="F12" s="14">
        <f>Assumptions!$F$52-ROUND(Assumptions!$F$52*Assumptions!$B$39,0)</f>
        <v/>
      </c>
      <c r="G12" s="14">
        <f>Assumptions!$G$52-ROUND(Assumptions!$G$52*Assumptions!$B$39,0)</f>
        <v/>
      </c>
      <c r="H12" s="14">
        <f>Assumptions!$H$52-ROUND(Assumptions!$H$52*Assumptions!$B$39,0)</f>
        <v/>
      </c>
    </row>
    <row r="13">
      <c r="A13" s="5" t="inlineStr">
        <is>
          <t>SME importers: accounts lost = ROUND(prior year-end x churn)</t>
        </is>
      </c>
      <c r="B13" s="14">
        <f>0</f>
        <v/>
      </c>
      <c r="C13" s="14">
        <f>ROUND(B14*Assumptions!$B$45,0)</f>
        <v/>
      </c>
      <c r="D13" s="14">
        <f>ROUND(C14*Assumptions!$B$45,0)</f>
        <v/>
      </c>
      <c r="E13" s="14">
        <f>ROUND(D14*Assumptions!$B$45,0)</f>
        <v/>
      </c>
      <c r="F13" s="14">
        <f>ROUND(E14*Assumptions!$B$45,0)</f>
        <v/>
      </c>
      <c r="G13" s="14">
        <f>ROUND(F14*Assumptions!$B$45,0)</f>
        <v/>
      </c>
      <c r="H13" s="14">
        <f>ROUND(G14*Assumptions!$B$45,0)</f>
        <v/>
      </c>
    </row>
    <row r="14">
      <c r="A14" s="17" t="inlineStr">
        <is>
          <t>SME importers: accounts at year end</t>
        </is>
      </c>
      <c r="B14" s="14">
        <f>B12</f>
        <v/>
      </c>
      <c r="C14" s="14">
        <f>B14-C13+C12</f>
        <v/>
      </c>
      <c r="D14" s="14">
        <f>C14-D13+D12</f>
        <v/>
      </c>
      <c r="E14" s="14">
        <f>D14-E13+E12</f>
        <v/>
      </c>
      <c r="F14" s="14">
        <f>E14-F13+F12</f>
        <v/>
      </c>
      <c r="G14" s="14">
        <f>F14-G13+G12</f>
        <v/>
      </c>
      <c r="H14" s="14">
        <f>G14-H13+H12</f>
        <v/>
      </c>
    </row>
    <row r="15">
      <c r="A15" s="5" t="inlineStr">
        <is>
          <t>SME importers: average accounts</t>
        </is>
      </c>
      <c r="B15" s="16">
        <f>B14/2</f>
        <v/>
      </c>
      <c r="C15" s="16">
        <f>(B14+C14)/2</f>
        <v/>
      </c>
      <c r="D15" s="16">
        <f>(C14+D14)/2</f>
        <v/>
      </c>
      <c r="E15" s="16">
        <f>(D14+E14)/2</f>
        <v/>
      </c>
      <c r="F15" s="16">
        <f>(E14+F14)/2</f>
        <v/>
      </c>
      <c r="G15" s="16">
        <f>(F14+G14)/2</f>
        <v/>
      </c>
      <c r="H15" s="16">
        <f>(G14+H14)/2</f>
        <v/>
      </c>
    </row>
    <row r="16">
      <c r="A16" s="5" t="inlineStr">
        <is>
          <t>SME importers: revenue per account ($K)</t>
        </is>
      </c>
      <c r="B16" s="16">
        <f>(Assumptions!$B$35+Assumptions!$B$36*Assumptions!$B$37)*Assumptions!$B$46</f>
        <v/>
      </c>
      <c r="C16" s="16">
        <f>(Assumptions!$C$35+Assumptions!$C$36*Assumptions!$C$37)*Assumptions!$B$46</f>
        <v/>
      </c>
      <c r="D16" s="16">
        <f>(Assumptions!$D$35+Assumptions!$D$36*Assumptions!$D$37)*Assumptions!$B$46</f>
        <v/>
      </c>
      <c r="E16" s="16">
        <f>(Assumptions!$E$35+Assumptions!$E$36*Assumptions!$E$37)*Assumptions!$B$46</f>
        <v/>
      </c>
      <c r="F16" s="16">
        <f>(Assumptions!$F$35+Assumptions!$F$36*Assumptions!$F$37)*Assumptions!$B$46</f>
        <v/>
      </c>
      <c r="G16" s="16">
        <f>(Assumptions!$G$35+Assumptions!$G$36*Assumptions!$G$37)*Assumptions!$B$46</f>
        <v/>
      </c>
      <c r="H16" s="16">
        <f>(Assumptions!$H$35+Assumptions!$H$36*Assumptions!$H$37)*Assumptions!$B$46</f>
        <v/>
      </c>
    </row>
    <row r="17">
      <c r="A17" s="5" t="inlineStr">
        <is>
          <t>SME importers: revenue</t>
        </is>
      </c>
      <c r="B17" s="18">
        <f>B15*B16</f>
        <v/>
      </c>
      <c r="C17" s="18">
        <f>C15*C16</f>
        <v/>
      </c>
      <c r="D17" s="18">
        <f>D15*D16</f>
        <v/>
      </c>
      <c r="E17" s="18">
        <f>E15*E16</f>
        <v/>
      </c>
      <c r="F17" s="18">
        <f>F15*F16</f>
        <v/>
      </c>
      <c r="G17" s="18">
        <f>G15*G16</f>
        <v/>
      </c>
      <c r="H17" s="18">
        <f>H15*H16</f>
        <v/>
      </c>
    </row>
    <row r="18">
      <c r="A18" s="5" t="inlineStr">
        <is>
          <t>SME importers: ARR at year end</t>
        </is>
      </c>
      <c r="B18" s="18">
        <f>B14*B16</f>
        <v/>
      </c>
      <c r="C18" s="18">
        <f>C14*C16</f>
        <v/>
      </c>
      <c r="D18" s="18">
        <f>D14*D16</f>
        <v/>
      </c>
      <c r="E18" s="18">
        <f>E14*E16</f>
        <v/>
      </c>
      <c r="F18" s="18">
        <f>F14*F16</f>
        <v/>
      </c>
      <c r="G18" s="18">
        <f>G14*G16</f>
        <v/>
      </c>
      <c r="H18" s="18">
        <f>H14*H16</f>
        <v/>
      </c>
    </row>
    <row r="19">
      <c r="A19" s="5" t="inlineStr">
        <is>
          <t>Carriers (partner-led): new accounts</t>
        </is>
      </c>
      <c r="B19" s="14">
        <f>Assumptions!$B$56</f>
        <v/>
      </c>
      <c r="C19" s="14">
        <f>Assumptions!$C$56</f>
        <v/>
      </c>
      <c r="D19" s="14">
        <f>Assumptions!$D$56</f>
        <v/>
      </c>
      <c r="E19" s="14">
        <f>Assumptions!$E$56</f>
        <v/>
      </c>
      <c r="F19" s="14">
        <f>Assumptions!$F$56</f>
        <v/>
      </c>
      <c r="G19" s="14">
        <f>Assumptions!$G$56</f>
        <v/>
      </c>
      <c r="H19" s="14">
        <f>Assumptions!$H$56</f>
        <v/>
      </c>
    </row>
    <row r="20">
      <c r="A20" s="5" t="inlineStr">
        <is>
          <t>Carriers (partner-led): accounts lost = ROUND(prior year-end x churn)</t>
        </is>
      </c>
      <c r="B20" s="14">
        <f>0</f>
        <v/>
      </c>
      <c r="C20" s="14">
        <f>ROUND(B21*Assumptions!$B$45,0)</f>
        <v/>
      </c>
      <c r="D20" s="14">
        <f>ROUND(C21*Assumptions!$B$45,0)</f>
        <v/>
      </c>
      <c r="E20" s="14">
        <f>ROUND(D21*Assumptions!$B$45,0)</f>
        <v/>
      </c>
      <c r="F20" s="14">
        <f>ROUND(E21*Assumptions!$B$45,0)</f>
        <v/>
      </c>
      <c r="G20" s="14">
        <f>ROUND(F21*Assumptions!$B$45,0)</f>
        <v/>
      </c>
      <c r="H20" s="14">
        <f>ROUND(G21*Assumptions!$B$45,0)</f>
        <v/>
      </c>
    </row>
    <row r="21">
      <c r="A21" s="17" t="inlineStr">
        <is>
          <t>Carriers (partner-led): accounts at year end</t>
        </is>
      </c>
      <c r="B21" s="14">
        <f>B19</f>
        <v/>
      </c>
      <c r="C21" s="14">
        <f>B21-C20+C19</f>
        <v/>
      </c>
      <c r="D21" s="14">
        <f>C21-D20+D19</f>
        <v/>
      </c>
      <c r="E21" s="14">
        <f>D21-E20+E19</f>
        <v/>
      </c>
      <c r="F21" s="14">
        <f>E21-F20+F19</f>
        <v/>
      </c>
      <c r="G21" s="14">
        <f>F21-G20+G19</f>
        <v/>
      </c>
      <c r="H21" s="14">
        <f>G21-H20+H19</f>
        <v/>
      </c>
    </row>
    <row r="22">
      <c r="A22" s="5" t="inlineStr">
        <is>
          <t>Carriers (partner-led): average accounts</t>
        </is>
      </c>
      <c r="B22" s="16">
        <f>B21/2</f>
        <v/>
      </c>
      <c r="C22" s="16">
        <f>(B21+C21)/2</f>
        <v/>
      </c>
      <c r="D22" s="16">
        <f>(C21+D21)/2</f>
        <v/>
      </c>
      <c r="E22" s="16">
        <f>(D21+E21)/2</f>
        <v/>
      </c>
      <c r="F22" s="16">
        <f>(E21+F21)/2</f>
        <v/>
      </c>
      <c r="G22" s="16">
        <f>(F21+G21)/2</f>
        <v/>
      </c>
      <c r="H22" s="16">
        <f>(G21+H21)/2</f>
        <v/>
      </c>
    </row>
    <row r="23">
      <c r="A23" s="5" t="inlineStr">
        <is>
          <t>Carriers (partner-led): revenue per account ($K)</t>
        </is>
      </c>
      <c r="B23" s="16">
        <f>Assumptions!$B$41*Assumptions!$B$42*Assumptions!$B$46</f>
        <v/>
      </c>
      <c r="C23" s="16">
        <f>Assumptions!$C$41*Assumptions!$B$42*Assumptions!$B$46</f>
        <v/>
      </c>
      <c r="D23" s="16">
        <f>Assumptions!$D$41*Assumptions!$B$42*Assumptions!$B$46</f>
        <v/>
      </c>
      <c r="E23" s="16">
        <f>Assumptions!$E$41*Assumptions!$B$42*Assumptions!$B$46</f>
        <v/>
      </c>
      <c r="F23" s="16">
        <f>Assumptions!$F$41*Assumptions!$B$42*Assumptions!$B$46</f>
        <v/>
      </c>
      <c r="G23" s="16">
        <f>Assumptions!$G$41*Assumptions!$B$42*Assumptions!$B$46</f>
        <v/>
      </c>
      <c r="H23" s="16">
        <f>Assumptions!$H$41*Assumptions!$B$42*Assumptions!$B$46</f>
        <v/>
      </c>
    </row>
    <row r="24">
      <c r="A24" s="5" t="inlineStr">
        <is>
          <t>Carriers (partner-led): revenue</t>
        </is>
      </c>
      <c r="B24" s="18">
        <f>B22*B23</f>
        <v/>
      </c>
      <c r="C24" s="18">
        <f>C22*C23</f>
        <v/>
      </c>
      <c r="D24" s="18">
        <f>D22*D23</f>
        <v/>
      </c>
      <c r="E24" s="18">
        <f>E22*E23</f>
        <v/>
      </c>
      <c r="F24" s="18">
        <f>F22*F23</f>
        <v/>
      </c>
      <c r="G24" s="18">
        <f>G22*G23</f>
        <v/>
      </c>
      <c r="H24" s="18">
        <f>H22*H23</f>
        <v/>
      </c>
    </row>
    <row r="25">
      <c r="A25" s="5" t="inlineStr">
        <is>
          <t>Carriers (partner-led): ARR at year end</t>
        </is>
      </c>
      <c r="B25" s="18">
        <f>B21*B23</f>
        <v/>
      </c>
      <c r="C25" s="18">
        <f>C21*C23</f>
        <v/>
      </c>
      <c r="D25" s="18">
        <f>D21*D23</f>
        <v/>
      </c>
      <c r="E25" s="18">
        <f>E21*E23</f>
        <v/>
      </c>
      <c r="F25" s="18">
        <f>F21*F23</f>
        <v/>
      </c>
      <c r="G25" s="18">
        <f>G21*G23</f>
        <v/>
      </c>
      <c r="H25" s="18">
        <f>H21*H23</f>
        <v/>
      </c>
    </row>
    <row r="26">
      <c r="A26" s="17" t="inlineStr">
        <is>
          <t>All segments: new accounts won</t>
        </is>
      </c>
      <c r="B26" s="14">
        <f>B5+B12+B19</f>
        <v/>
      </c>
      <c r="C26" s="14">
        <f>C5+C12+C19</f>
        <v/>
      </c>
      <c r="D26" s="14">
        <f>D5+D12+D19</f>
        <v/>
      </c>
      <c r="E26" s="14">
        <f>E5+E12+E19</f>
        <v/>
      </c>
      <c r="F26" s="14">
        <f>F5+F12+F19</f>
        <v/>
      </c>
      <c r="G26" s="14">
        <f>G5+G12+G19</f>
        <v/>
      </c>
      <c r="H26" s="14">
        <f>H5+H12+H19</f>
        <v/>
      </c>
    </row>
    <row r="27">
      <c r="A27" s="5" t="inlineStr">
        <is>
          <t>All segments: accounts lost</t>
        </is>
      </c>
      <c r="B27" s="14">
        <f>B6+B13+B20</f>
        <v/>
      </c>
      <c r="C27" s="14">
        <f>C6+C13+C20</f>
        <v/>
      </c>
      <c r="D27" s="14">
        <f>D6+D13+D20</f>
        <v/>
      </c>
      <c r="E27" s="14">
        <f>E6+E13+E20</f>
        <v/>
      </c>
      <c r="F27" s="14">
        <f>F6+F13+F20</f>
        <v/>
      </c>
      <c r="G27" s="14">
        <f>G6+G13+G20</f>
        <v/>
      </c>
      <c r="H27" s="14">
        <f>H6+H13+H20</f>
        <v/>
      </c>
    </row>
    <row r="28">
      <c r="A28" s="17" t="inlineStr">
        <is>
          <t>All segments: paying accounts at year end</t>
        </is>
      </c>
      <c r="B28" s="14">
        <f>B7+B14+B21</f>
        <v/>
      </c>
      <c r="C28" s="14">
        <f>C7+C14+C21</f>
        <v/>
      </c>
      <c r="D28" s="14">
        <f>D7+D14+D21</f>
        <v/>
      </c>
      <c r="E28" s="14">
        <f>E7+E14+E21</f>
        <v/>
      </c>
      <c r="F28" s="14">
        <f>F7+F14+F21</f>
        <v/>
      </c>
      <c r="G28" s="14">
        <f>G7+G14+G21</f>
        <v/>
      </c>
      <c r="H28" s="14">
        <f>H7+H14+H21</f>
        <v/>
      </c>
    </row>
    <row r="29">
      <c r="A29" s="5" t="inlineStr">
        <is>
          <t>All segments: average paying accounts</t>
        </is>
      </c>
      <c r="B29" s="16">
        <f>B8+B15+B22</f>
        <v/>
      </c>
      <c r="C29" s="16">
        <f>C8+C15+C22</f>
        <v/>
      </c>
      <c r="D29" s="16">
        <f>D8+D15+D22</f>
        <v/>
      </c>
      <c r="E29" s="16">
        <f>E8+E15+E22</f>
        <v/>
      </c>
      <c r="F29" s="16">
        <f>F8+F15+F22</f>
        <v/>
      </c>
      <c r="G29" s="16">
        <f>G8+G15+G22</f>
        <v/>
      </c>
      <c r="H29" s="16">
        <f>H8+H15+H22</f>
        <v/>
      </c>
    </row>
    <row r="30">
      <c r="A30" s="17" t="inlineStr">
        <is>
          <t>Total revenue</t>
        </is>
      </c>
      <c r="B30" s="18">
        <f>B10+B17+B24</f>
        <v/>
      </c>
      <c r="C30" s="18">
        <f>C10+C17+C24</f>
        <v/>
      </c>
      <c r="D30" s="18">
        <f>D10+D17+D24</f>
        <v/>
      </c>
      <c r="E30" s="18">
        <f>E10+E17+E24</f>
        <v/>
      </c>
      <c r="F30" s="18">
        <f>F10+F17+F24</f>
        <v/>
      </c>
      <c r="G30" s="18">
        <f>G10+G17+G24</f>
        <v/>
      </c>
      <c r="H30" s="18">
        <f>H10+H17+H24</f>
        <v/>
      </c>
    </row>
    <row r="31">
      <c r="A31" s="17" t="inlineStr">
        <is>
          <t>ARR at year end</t>
        </is>
      </c>
      <c r="B31" s="18">
        <f>B11+B18+B25</f>
        <v/>
      </c>
      <c r="C31" s="18">
        <f>C11+C18+C25</f>
        <v/>
      </c>
      <c r="D31" s="18">
        <f>D11+D18+D25</f>
        <v/>
      </c>
      <c r="E31" s="18">
        <f>E11+E18+E25</f>
        <v/>
      </c>
      <c r="F31" s="18">
        <f>F11+F18+F25</f>
        <v/>
      </c>
      <c r="G31" s="18">
        <f>G11+G18+G25</f>
        <v/>
      </c>
      <c r="H31" s="18">
        <f>H11+H18+H25</f>
        <v/>
      </c>
    </row>
    <row r="32">
      <c r="A32" s="17" t="inlineStr">
        <is>
          <t>Blended revenue per account = ARR / accounts ($K)</t>
        </is>
      </c>
      <c r="B32" s="16">
        <f>IF(B28=0,0,B31/B28)</f>
        <v/>
      </c>
      <c r="C32" s="16">
        <f>IF(C28=0,0,C31/C28)</f>
        <v/>
      </c>
      <c r="D32" s="16">
        <f>IF(D28=0,0,D31/D28)</f>
        <v/>
      </c>
      <c r="E32" s="16">
        <f>IF(E28=0,0,E31/E28)</f>
        <v/>
      </c>
      <c r="F32" s="16">
        <f>IF(F28=0,0,F31/F28)</f>
        <v/>
      </c>
      <c r="G32" s="16">
        <f>IF(G28=0,0,G31/G28)</f>
        <v/>
      </c>
      <c r="H32" s="16">
        <f>IF(H28=0,0,H31/H28)</f>
        <v/>
      </c>
    </row>
    <row r="33">
      <c r="A33" s="5" t="inlineStr">
        <is>
          <t xml:space="preserve">  Founder / CEO</t>
        </is>
      </c>
      <c r="B33" s="14">
        <f>Assumptions!$B$61</f>
        <v/>
      </c>
      <c r="C33" s="14">
        <f>IF(AND(Assumptions!$B$48&gt;0,Assumptions!$C$6&gt;=Assumptions!$B$48,Assumptions!$C$6&lt;Assumptions!$B$48+Assumptions!$B$49),B33,Assumptions!$C$61)</f>
        <v/>
      </c>
      <c r="D33" s="14">
        <f>IF(AND(Assumptions!$B$48&gt;0,Assumptions!$D$6&gt;=Assumptions!$B$48,Assumptions!$D$6&lt;Assumptions!$B$48+Assumptions!$B$49),C33,Assumptions!$D$61)</f>
        <v/>
      </c>
      <c r="E33" s="14">
        <f>IF(AND(Assumptions!$B$48&gt;0,Assumptions!$E$6&gt;=Assumptions!$B$48,Assumptions!$E$6&lt;Assumptions!$B$48+Assumptions!$B$49),D33,Assumptions!$E$61)</f>
        <v/>
      </c>
      <c r="F33" s="14">
        <f>IF(AND(Assumptions!$B$48&gt;0,Assumptions!$F$6&gt;=Assumptions!$B$48,Assumptions!$F$6&lt;Assumptions!$B$48+Assumptions!$B$49),E33,Assumptions!$F$61)</f>
        <v/>
      </c>
      <c r="G33" s="14">
        <f>IF(AND(Assumptions!$B$48&gt;0,Assumptions!$G$6&gt;=Assumptions!$B$48,Assumptions!$G$6&lt;Assumptions!$B$48+Assumptions!$B$49),F33,Assumptions!$G$61)</f>
        <v/>
      </c>
      <c r="H33" s="14">
        <f>IF(AND(Assumptions!$B$48&gt;0,Assumptions!$H$6&gt;=Assumptions!$B$48,Assumptions!$H$6&lt;Assumptions!$B$48+Assumptions!$B$49),G33,Assumptions!$H$61)</f>
        <v/>
      </c>
    </row>
    <row r="34">
      <c r="A34" s="5" t="inlineStr">
        <is>
          <t xml:space="preserve">  Software engineers</t>
        </is>
      </c>
      <c r="B34" s="14">
        <f>ROUND(Assumptions!$B$65*Assumptions!$B$47,0)</f>
        <v/>
      </c>
      <c r="C34" s="14">
        <f>IF(AND(Assumptions!$B$48&gt;0,Assumptions!$C$6&gt;=Assumptions!$B$48,Assumptions!$C$6&lt;Assumptions!$B$48+Assumptions!$B$49),B34,ROUND(Assumptions!$C$65*Assumptions!$B$47,0))</f>
        <v/>
      </c>
      <c r="D34" s="14">
        <f>IF(AND(Assumptions!$B$48&gt;0,Assumptions!$D$6&gt;=Assumptions!$B$48,Assumptions!$D$6&lt;Assumptions!$B$48+Assumptions!$B$49),C34,ROUND(Assumptions!$D$65*Assumptions!$B$47,0))</f>
        <v/>
      </c>
      <c r="E34" s="14">
        <f>IF(AND(Assumptions!$B$48&gt;0,Assumptions!$E$6&gt;=Assumptions!$B$48,Assumptions!$E$6&lt;Assumptions!$B$48+Assumptions!$B$49),D34,ROUND(Assumptions!$E$65*Assumptions!$B$47,0))</f>
        <v/>
      </c>
      <c r="F34" s="14">
        <f>IF(AND(Assumptions!$B$48&gt;0,Assumptions!$F$6&gt;=Assumptions!$B$48,Assumptions!$F$6&lt;Assumptions!$B$48+Assumptions!$B$49),E34,ROUND(Assumptions!$F$65*Assumptions!$B$47,0))</f>
        <v/>
      </c>
      <c r="G34" s="14">
        <f>IF(AND(Assumptions!$B$48&gt;0,Assumptions!$G$6&gt;=Assumptions!$B$48,Assumptions!$G$6&lt;Assumptions!$B$48+Assumptions!$B$49),F34,ROUND(Assumptions!$G$65*Assumptions!$B$47,0))</f>
        <v/>
      </c>
      <c r="H34" s="14">
        <f>IF(AND(Assumptions!$B$48&gt;0,Assumptions!$H$6&gt;=Assumptions!$B$48,Assumptions!$H$6&lt;Assumptions!$B$48+Assumptions!$B$49),G34,ROUND(Assumptions!$H$65*Assumptions!$B$47,0))</f>
        <v/>
      </c>
    </row>
    <row r="35">
      <c r="A35" s="5" t="inlineStr">
        <is>
          <t xml:space="preserve">  ML / data engineers</t>
        </is>
      </c>
      <c r="B35" s="14">
        <f>ROUND(Assumptions!$B$69*Assumptions!$B$47,0)</f>
        <v/>
      </c>
      <c r="C35" s="14">
        <f>IF(AND(Assumptions!$B$48&gt;0,Assumptions!$C$6&gt;=Assumptions!$B$48,Assumptions!$C$6&lt;Assumptions!$B$48+Assumptions!$B$49),B35,ROUND(Assumptions!$C$69*Assumptions!$B$47,0))</f>
        <v/>
      </c>
      <c r="D35" s="14">
        <f>IF(AND(Assumptions!$B$48&gt;0,Assumptions!$D$6&gt;=Assumptions!$B$48,Assumptions!$D$6&lt;Assumptions!$B$48+Assumptions!$B$49),C35,ROUND(Assumptions!$D$69*Assumptions!$B$47,0))</f>
        <v/>
      </c>
      <c r="E35" s="14">
        <f>IF(AND(Assumptions!$B$48&gt;0,Assumptions!$E$6&gt;=Assumptions!$B$48,Assumptions!$E$6&lt;Assumptions!$B$48+Assumptions!$B$49),D35,ROUND(Assumptions!$E$69*Assumptions!$B$47,0))</f>
        <v/>
      </c>
      <c r="F35" s="14">
        <f>IF(AND(Assumptions!$B$48&gt;0,Assumptions!$F$6&gt;=Assumptions!$B$48,Assumptions!$F$6&lt;Assumptions!$B$48+Assumptions!$B$49),E35,ROUND(Assumptions!$F$69*Assumptions!$B$47,0))</f>
        <v/>
      </c>
      <c r="G35" s="14">
        <f>IF(AND(Assumptions!$B$48&gt;0,Assumptions!$G$6&gt;=Assumptions!$B$48,Assumptions!$G$6&lt;Assumptions!$B$48+Assumptions!$B$49),F35,ROUND(Assumptions!$G$69*Assumptions!$B$47,0))</f>
        <v/>
      </c>
      <c r="H35" s="14">
        <f>IF(AND(Assumptions!$B$48&gt;0,Assumptions!$H$6&gt;=Assumptions!$B$48,Assumptions!$H$6&lt;Assumptions!$B$48+Assumptions!$B$49),G35,ROUND(Assumptions!$H$69*Assumptions!$B$47,0))</f>
        <v/>
      </c>
    </row>
    <row r="36">
      <c r="A36" s="5" t="inlineStr">
        <is>
          <t xml:space="preserve">  Security engineer</t>
        </is>
      </c>
      <c r="B36" s="14">
        <f>ROUND(Assumptions!$B$73*Assumptions!$B$47,0)</f>
        <v/>
      </c>
      <c r="C36" s="14">
        <f>IF(AND(Assumptions!$B$48&gt;0,Assumptions!$C$6&gt;=Assumptions!$B$48,Assumptions!$C$6&lt;Assumptions!$B$48+Assumptions!$B$49),B36,ROUND(Assumptions!$C$73*Assumptions!$B$47,0))</f>
        <v/>
      </c>
      <c r="D36" s="14">
        <f>IF(AND(Assumptions!$B$48&gt;0,Assumptions!$D$6&gt;=Assumptions!$B$48,Assumptions!$D$6&lt;Assumptions!$B$48+Assumptions!$B$49),C36,ROUND(Assumptions!$D$73*Assumptions!$B$47,0))</f>
        <v/>
      </c>
      <c r="E36" s="14">
        <f>IF(AND(Assumptions!$B$48&gt;0,Assumptions!$E$6&gt;=Assumptions!$B$48,Assumptions!$E$6&lt;Assumptions!$B$48+Assumptions!$B$49),D36,ROUND(Assumptions!$E$73*Assumptions!$B$47,0))</f>
        <v/>
      </c>
      <c r="F36" s="14">
        <f>IF(AND(Assumptions!$B$48&gt;0,Assumptions!$F$6&gt;=Assumptions!$B$48,Assumptions!$F$6&lt;Assumptions!$B$48+Assumptions!$B$49),E36,ROUND(Assumptions!$F$73*Assumptions!$B$47,0))</f>
        <v/>
      </c>
      <c r="G36" s="14">
        <f>IF(AND(Assumptions!$B$48&gt;0,Assumptions!$G$6&gt;=Assumptions!$B$48,Assumptions!$G$6&lt;Assumptions!$B$48+Assumptions!$B$49),F36,ROUND(Assumptions!$G$73*Assumptions!$B$47,0))</f>
        <v/>
      </c>
      <c r="H36" s="14">
        <f>IF(AND(Assumptions!$B$48&gt;0,Assumptions!$H$6&gt;=Assumptions!$B$48,Assumptions!$H$6&lt;Assumptions!$B$48+Assumptions!$B$49),G36,ROUND(Assumptions!$H$73*Assumptions!$B$47,0))</f>
        <v/>
      </c>
    </row>
    <row r="37">
      <c r="A37" s="5" t="inlineStr">
        <is>
          <t xml:space="preserve">  Account executives (US)</t>
        </is>
      </c>
      <c r="B37" s="14">
        <f>ROUND(Assumptions!$B$77*Assumptions!$B$47,0)</f>
        <v/>
      </c>
      <c r="C37" s="14">
        <f>IF(AND(Assumptions!$B$48&gt;0,Assumptions!$C$6&gt;=Assumptions!$B$48,Assumptions!$C$6&lt;Assumptions!$B$48+Assumptions!$B$49),B37,ROUND(Assumptions!$C$77*Assumptions!$B$47,0))</f>
        <v/>
      </c>
      <c r="D37" s="14">
        <f>IF(AND(Assumptions!$B$48&gt;0,Assumptions!$D$6&gt;=Assumptions!$B$48,Assumptions!$D$6&lt;Assumptions!$B$48+Assumptions!$B$49),C37,ROUND(Assumptions!$D$77*Assumptions!$B$47,0))</f>
        <v/>
      </c>
      <c r="E37" s="14">
        <f>IF(AND(Assumptions!$B$48&gt;0,Assumptions!$E$6&gt;=Assumptions!$B$48,Assumptions!$E$6&lt;Assumptions!$B$48+Assumptions!$B$49),D37,ROUND(Assumptions!$E$77*Assumptions!$B$47,0))</f>
        <v/>
      </c>
      <c r="F37" s="14">
        <f>IF(AND(Assumptions!$B$48&gt;0,Assumptions!$F$6&gt;=Assumptions!$B$48,Assumptions!$F$6&lt;Assumptions!$B$48+Assumptions!$B$49),E37,ROUND(Assumptions!$F$77*Assumptions!$B$47,0))</f>
        <v/>
      </c>
      <c r="G37" s="14">
        <f>IF(AND(Assumptions!$B$48&gt;0,Assumptions!$G$6&gt;=Assumptions!$B$48,Assumptions!$G$6&lt;Assumptions!$B$48+Assumptions!$B$49),F37,ROUND(Assumptions!$G$77*Assumptions!$B$47,0))</f>
        <v/>
      </c>
      <c r="H37" s="14">
        <f>IF(AND(Assumptions!$B$48&gt;0,Assumptions!$H$6&gt;=Assumptions!$B$48,Assumptions!$H$6&lt;Assumptions!$B$48+Assumptions!$B$49),G37,ROUND(Assumptions!$H$77*Assumptions!$B$47,0))</f>
        <v/>
      </c>
    </row>
    <row r="38">
      <c r="A38" s="5" t="inlineStr">
        <is>
          <t xml:space="preserve">  Sales engineer (US)</t>
        </is>
      </c>
      <c r="B38" s="14">
        <f>ROUND(Assumptions!$B$81*Assumptions!$B$47,0)</f>
        <v/>
      </c>
      <c r="C38" s="14">
        <f>IF(AND(Assumptions!$B$48&gt;0,Assumptions!$C$6&gt;=Assumptions!$B$48,Assumptions!$C$6&lt;Assumptions!$B$48+Assumptions!$B$49),B38,ROUND(Assumptions!$C$81*Assumptions!$B$47,0))</f>
        <v/>
      </c>
      <c r="D38" s="14">
        <f>IF(AND(Assumptions!$B$48&gt;0,Assumptions!$D$6&gt;=Assumptions!$B$48,Assumptions!$D$6&lt;Assumptions!$B$48+Assumptions!$B$49),C38,ROUND(Assumptions!$D$81*Assumptions!$B$47,0))</f>
        <v/>
      </c>
      <c r="E38" s="14">
        <f>IF(AND(Assumptions!$B$48&gt;0,Assumptions!$E$6&gt;=Assumptions!$B$48,Assumptions!$E$6&lt;Assumptions!$B$48+Assumptions!$B$49),D38,ROUND(Assumptions!$E$81*Assumptions!$B$47,0))</f>
        <v/>
      </c>
      <c r="F38" s="14">
        <f>IF(AND(Assumptions!$B$48&gt;0,Assumptions!$F$6&gt;=Assumptions!$B$48,Assumptions!$F$6&lt;Assumptions!$B$48+Assumptions!$B$49),E38,ROUND(Assumptions!$F$81*Assumptions!$B$47,0))</f>
        <v/>
      </c>
      <c r="G38" s="14">
        <f>IF(AND(Assumptions!$B$48&gt;0,Assumptions!$G$6&gt;=Assumptions!$B$48,Assumptions!$G$6&lt;Assumptions!$B$48+Assumptions!$B$49),F38,ROUND(Assumptions!$G$81*Assumptions!$B$47,0))</f>
        <v/>
      </c>
      <c r="H38" s="14">
        <f>IF(AND(Assumptions!$B$48&gt;0,Assumptions!$H$6&gt;=Assumptions!$B$48,Assumptions!$H$6&lt;Assumptions!$B$48+Assumptions!$B$49),G38,ROUND(Assumptions!$H$81*Assumptions!$B$47,0))</f>
        <v/>
      </c>
    </row>
    <row r="39">
      <c r="A39" s="5" t="inlineStr">
        <is>
          <t xml:space="preserve">  Claims analysts / customer success (US)</t>
        </is>
      </c>
      <c r="B39" s="14">
        <f>ROUND(Assumptions!$B$85*Assumptions!$B$47,0)</f>
        <v/>
      </c>
      <c r="C39" s="14">
        <f>IF(AND(Assumptions!$B$48&gt;0,Assumptions!$C$6&gt;=Assumptions!$B$48,Assumptions!$C$6&lt;Assumptions!$B$48+Assumptions!$B$49),B39,ROUND(Assumptions!$C$85*Assumptions!$B$47,0))</f>
        <v/>
      </c>
      <c r="D39" s="14">
        <f>IF(AND(Assumptions!$B$48&gt;0,Assumptions!$D$6&gt;=Assumptions!$B$48,Assumptions!$D$6&lt;Assumptions!$B$48+Assumptions!$B$49),C39,ROUND(Assumptions!$D$85*Assumptions!$B$47,0))</f>
        <v/>
      </c>
      <c r="E39" s="14">
        <f>IF(AND(Assumptions!$B$48&gt;0,Assumptions!$E$6&gt;=Assumptions!$B$48,Assumptions!$E$6&lt;Assumptions!$B$48+Assumptions!$B$49),D39,ROUND(Assumptions!$E$85*Assumptions!$B$47,0))</f>
        <v/>
      </c>
      <c r="F39" s="14">
        <f>IF(AND(Assumptions!$B$48&gt;0,Assumptions!$F$6&gt;=Assumptions!$B$48,Assumptions!$F$6&lt;Assumptions!$B$48+Assumptions!$B$49),E39,ROUND(Assumptions!$F$85*Assumptions!$B$47,0))</f>
        <v/>
      </c>
      <c r="G39" s="14">
        <f>IF(AND(Assumptions!$B$48&gt;0,Assumptions!$G$6&gt;=Assumptions!$B$48,Assumptions!$G$6&lt;Assumptions!$B$48+Assumptions!$B$49),F39,ROUND(Assumptions!$G$85*Assumptions!$B$47,0))</f>
        <v/>
      </c>
      <c r="H39" s="14">
        <f>IF(AND(Assumptions!$B$48&gt;0,Assumptions!$H$6&gt;=Assumptions!$B$48,Assumptions!$H$6&lt;Assumptions!$B$48+Assumptions!$B$49),G39,ROUND(Assumptions!$H$85*Assumptions!$B$47,0))</f>
        <v/>
      </c>
    </row>
    <row r="40">
      <c r="A40" s="5" t="inlineStr">
        <is>
          <t xml:space="preserve">  Marketing (US)</t>
        </is>
      </c>
      <c r="B40" s="14">
        <f>ROUND(Assumptions!$B$89*Assumptions!$B$47,0)</f>
        <v/>
      </c>
      <c r="C40" s="14">
        <f>IF(AND(Assumptions!$B$48&gt;0,Assumptions!$C$6&gt;=Assumptions!$B$48,Assumptions!$C$6&lt;Assumptions!$B$48+Assumptions!$B$49),B40,ROUND(Assumptions!$C$89*Assumptions!$B$47,0))</f>
        <v/>
      </c>
      <c r="D40" s="14">
        <f>IF(AND(Assumptions!$B$48&gt;0,Assumptions!$D$6&gt;=Assumptions!$B$48,Assumptions!$D$6&lt;Assumptions!$B$48+Assumptions!$B$49),C40,ROUND(Assumptions!$D$89*Assumptions!$B$47,0))</f>
        <v/>
      </c>
      <c r="E40" s="14">
        <f>IF(AND(Assumptions!$B$48&gt;0,Assumptions!$E$6&gt;=Assumptions!$B$48,Assumptions!$E$6&lt;Assumptions!$B$48+Assumptions!$B$49),D40,ROUND(Assumptions!$E$89*Assumptions!$B$47,0))</f>
        <v/>
      </c>
      <c r="F40" s="14">
        <f>IF(AND(Assumptions!$B$48&gt;0,Assumptions!$F$6&gt;=Assumptions!$B$48,Assumptions!$F$6&lt;Assumptions!$B$48+Assumptions!$B$49),E40,ROUND(Assumptions!$F$89*Assumptions!$B$47,0))</f>
        <v/>
      </c>
      <c r="G40" s="14">
        <f>IF(AND(Assumptions!$B$48&gt;0,Assumptions!$G$6&gt;=Assumptions!$B$48,Assumptions!$G$6&lt;Assumptions!$B$48+Assumptions!$B$49),F40,ROUND(Assumptions!$G$89*Assumptions!$B$47,0))</f>
        <v/>
      </c>
      <c r="H40" s="14">
        <f>IF(AND(Assumptions!$B$48&gt;0,Assumptions!$H$6&gt;=Assumptions!$B$48,Assumptions!$H$6&lt;Assumptions!$B$48+Assumptions!$B$49),G40,ROUND(Assumptions!$H$89*Assumptions!$B$47,0))</f>
        <v/>
      </c>
    </row>
    <row r="41">
      <c r="A41" s="5" t="inlineStr">
        <is>
          <t xml:space="preserve">  Finance, legal operations, people</t>
        </is>
      </c>
      <c r="B41" s="14">
        <f>ROUND(Assumptions!$B$93*Assumptions!$B$47,0)</f>
        <v/>
      </c>
      <c r="C41" s="14">
        <f>IF(AND(Assumptions!$B$48&gt;0,Assumptions!$C$6&gt;=Assumptions!$B$48,Assumptions!$C$6&lt;Assumptions!$B$48+Assumptions!$B$49),B41,ROUND(Assumptions!$C$93*Assumptions!$B$47,0))</f>
        <v/>
      </c>
      <c r="D41" s="14">
        <f>IF(AND(Assumptions!$B$48&gt;0,Assumptions!$D$6&gt;=Assumptions!$B$48,Assumptions!$D$6&lt;Assumptions!$B$48+Assumptions!$B$49),C41,ROUND(Assumptions!$D$93*Assumptions!$B$47,0))</f>
        <v/>
      </c>
      <c r="E41" s="14">
        <f>IF(AND(Assumptions!$B$48&gt;0,Assumptions!$E$6&gt;=Assumptions!$B$48,Assumptions!$E$6&lt;Assumptions!$B$48+Assumptions!$B$49),D41,ROUND(Assumptions!$E$93*Assumptions!$B$47,0))</f>
        <v/>
      </c>
      <c r="F41" s="14">
        <f>IF(AND(Assumptions!$B$48&gt;0,Assumptions!$F$6&gt;=Assumptions!$B$48,Assumptions!$F$6&lt;Assumptions!$B$48+Assumptions!$B$49),E41,ROUND(Assumptions!$F$93*Assumptions!$B$47,0))</f>
        <v/>
      </c>
      <c r="G41" s="14">
        <f>IF(AND(Assumptions!$B$48&gt;0,Assumptions!$G$6&gt;=Assumptions!$B$48,Assumptions!$G$6&lt;Assumptions!$B$48+Assumptions!$B$49),F41,ROUND(Assumptions!$G$93*Assumptions!$B$47,0))</f>
        <v/>
      </c>
      <c r="H41" s="14">
        <f>IF(AND(Assumptions!$B$48&gt;0,Assumptions!$H$6&gt;=Assumptions!$B$48,Assumptions!$H$6&lt;Assumptions!$B$48+Assumptions!$B$49),G41,ROUND(Assumptions!$H$93*Assumptions!$B$47,0))</f>
        <v/>
      </c>
    </row>
    <row r="42">
      <c r="A42" s="17" t="inlineStr">
        <is>
          <t>Headcount at year end</t>
        </is>
      </c>
      <c r="B42" s="14">
        <f>SUM(B33:B41)</f>
        <v/>
      </c>
      <c r="C42" s="14">
        <f>SUM(C33:C41)</f>
        <v/>
      </c>
      <c r="D42" s="14">
        <f>SUM(D33:D41)</f>
        <v/>
      </c>
      <c r="E42" s="14">
        <f>SUM(E33:E41)</f>
        <v/>
      </c>
      <c r="F42" s="14">
        <f>SUM(F33:F41)</f>
        <v/>
      </c>
      <c r="G42" s="14">
        <f>SUM(G33:G41)</f>
        <v/>
      </c>
      <c r="H42" s="14">
        <f>SUM(H33:H41)</f>
        <v/>
      </c>
    </row>
    <row r="43">
      <c r="A43" s="5" t="inlineStr">
        <is>
          <t>Claims operations people cost</t>
        </is>
      </c>
      <c r="B43" s="18">
        <f>(B39*(5-Assumptions!$B$87)/4*Assumptions!$B$88)*(1+Assumptions!$B$8)^(Assumptions!$B$6-1)</f>
        <v/>
      </c>
      <c r="C43" s="18">
        <f>((B39+C39)/2*Assumptions!$B$88)*(1+Assumptions!$B$8)^(Assumptions!$C$6-1)</f>
        <v/>
      </c>
      <c r="D43" s="18">
        <f>((C39+D39)/2*Assumptions!$B$88)*(1+Assumptions!$B$8)^(Assumptions!$D$6-1)</f>
        <v/>
      </c>
      <c r="E43" s="18">
        <f>((D39+E39)/2*Assumptions!$B$88)*(1+Assumptions!$B$8)^(Assumptions!$E$6-1)</f>
        <v/>
      </c>
      <c r="F43" s="18">
        <f>((E39+F39)/2*Assumptions!$B$88)*(1+Assumptions!$B$8)^(Assumptions!$F$6-1)</f>
        <v/>
      </c>
      <c r="G43" s="18">
        <f>((F39+G39)/2*Assumptions!$B$88)*(1+Assumptions!$B$8)^(Assumptions!$G$6-1)</f>
        <v/>
      </c>
      <c r="H43" s="18">
        <f>((G39+H39)/2*Assumptions!$B$88)*(1+Assumptions!$B$8)^(Assumptions!$H$6-1)</f>
        <v/>
      </c>
    </row>
    <row r="44">
      <c r="A44" s="5" t="inlineStr">
        <is>
          <t>Other people cost</t>
        </is>
      </c>
      <c r="B44" s="18">
        <f>(B33*(5-Assumptions!$B$63)/4*Assumptions!$B$64+B34*(5-Assumptions!$B$67)/4*Assumptions!$B$68+B35*(5-Assumptions!$B$71)/4*Assumptions!$B$72+B36*(5-Assumptions!$B$75)/4*Assumptions!$B$76+B37*(5-Assumptions!$B$79)/4*Assumptions!$B$80+B38*(5-Assumptions!$B$83)/4*Assumptions!$B$84+B40*(5-Assumptions!$B$91)/4*Assumptions!$B$92+B41*(5-Assumptions!$B$95)/4*Assumptions!$B$96)*(1+Assumptions!$B$8)^(Assumptions!$B$6-1)</f>
        <v/>
      </c>
      <c r="C44" s="18">
        <f>((B33+C33)/2*Assumptions!$B$64+(B34+C34)/2*Assumptions!$B$68+(B35+C35)/2*Assumptions!$B$72+(B36+C36)/2*Assumptions!$B$76+(B37+C37)/2*Assumptions!$B$80+(B38+C38)/2*Assumptions!$B$84+(B40+C40)/2*Assumptions!$B$92+(B41+C41)/2*Assumptions!$B$96)*(1+Assumptions!$B$8)^(Assumptions!$C$6-1)</f>
        <v/>
      </c>
      <c r="D44" s="18">
        <f>((C33+D33)/2*Assumptions!$B$64+(C34+D34)/2*Assumptions!$B$68+(C35+D35)/2*Assumptions!$B$72+(C36+D36)/2*Assumptions!$B$76+(C37+D37)/2*Assumptions!$B$80+(C38+D38)/2*Assumptions!$B$84+(C40+D40)/2*Assumptions!$B$92+(C41+D41)/2*Assumptions!$B$96)*(1+Assumptions!$B$8)^(Assumptions!$D$6-1)</f>
        <v/>
      </c>
      <c r="E44" s="18">
        <f>((D33+E33)/2*Assumptions!$B$64+(D34+E34)/2*Assumptions!$B$68+(D35+E35)/2*Assumptions!$B$72+(D36+E36)/2*Assumptions!$B$76+(D37+E37)/2*Assumptions!$B$80+(D38+E38)/2*Assumptions!$B$84+(D40+E40)/2*Assumptions!$B$92+(D41+E41)/2*Assumptions!$B$96)*(1+Assumptions!$B$8)^(Assumptions!$E$6-1)</f>
        <v/>
      </c>
      <c r="F44" s="18">
        <f>((E33+F33)/2*Assumptions!$B$64+(E34+F34)/2*Assumptions!$B$68+(E35+F35)/2*Assumptions!$B$72+(E36+F36)/2*Assumptions!$B$76+(E37+F37)/2*Assumptions!$B$80+(E38+F38)/2*Assumptions!$B$84+(E40+F40)/2*Assumptions!$B$92+(E41+F41)/2*Assumptions!$B$96)*(1+Assumptions!$B$8)^(Assumptions!$F$6-1)</f>
        <v/>
      </c>
      <c r="G44" s="18">
        <f>((F33+G33)/2*Assumptions!$B$64+(F34+G34)/2*Assumptions!$B$68+(F35+G35)/2*Assumptions!$B$72+(F36+G36)/2*Assumptions!$B$76+(F37+G37)/2*Assumptions!$B$80+(F38+G38)/2*Assumptions!$B$84+(F40+G40)/2*Assumptions!$B$92+(F41+G41)/2*Assumptions!$B$96)*(1+Assumptions!$B$8)^(Assumptions!$G$6-1)</f>
        <v/>
      </c>
      <c r="H44" s="18">
        <f>((G33+H33)/2*Assumptions!$B$64+(G34+H34)/2*Assumptions!$B$68+(G35+H35)/2*Assumptions!$B$72+(G36+H36)/2*Assumptions!$B$76+(G37+H37)/2*Assumptions!$B$80+(G38+H38)/2*Assumptions!$B$84+(G40+H40)/2*Assumptions!$B$92+(G41+H41)/2*Assumptions!$B$96)*(1+Assumptions!$B$8)^(Assumptions!$H$6-1)</f>
        <v/>
      </c>
    </row>
    <row r="45">
      <c r="A45" s="5" t="inlineStr">
        <is>
          <t xml:space="preserve">  Cloud hosting, data feeds and tooling</t>
        </is>
      </c>
      <c r="B45" s="18">
        <f>Assumptions!$B$98</f>
        <v/>
      </c>
      <c r="C45" s="18">
        <f>IF(AND(Assumptions!$B$48&gt;0,Assumptions!$C$6&gt;=Assumptions!$B$48,Assumptions!$C$6&lt;Assumptions!$B$48+Assumptions!$B$49),B45,Assumptions!$C$98*Assumptions!$B$47)</f>
        <v/>
      </c>
      <c r="D45" s="18">
        <f>IF(AND(Assumptions!$B$48&gt;0,Assumptions!$D$6&gt;=Assumptions!$B$48,Assumptions!$D$6&lt;Assumptions!$B$48+Assumptions!$B$49),C45,Assumptions!$D$98*Assumptions!$B$47)</f>
        <v/>
      </c>
      <c r="E45" s="18">
        <f>IF(AND(Assumptions!$B$48&gt;0,Assumptions!$E$6&gt;=Assumptions!$B$48,Assumptions!$E$6&lt;Assumptions!$B$48+Assumptions!$B$49),D45,Assumptions!$E$98*Assumptions!$B$47)</f>
        <v/>
      </c>
      <c r="F45" s="18">
        <f>IF(AND(Assumptions!$B$48&gt;0,Assumptions!$F$6&gt;=Assumptions!$B$48,Assumptions!$F$6&lt;Assumptions!$B$48+Assumptions!$B$49),E45,Assumptions!$F$98*Assumptions!$B$47)</f>
        <v/>
      </c>
      <c r="G45" s="18">
        <f>IF(AND(Assumptions!$B$48&gt;0,Assumptions!$G$6&gt;=Assumptions!$B$48,Assumptions!$G$6&lt;Assumptions!$B$48+Assumptions!$B$49),F45,Assumptions!$G$98*Assumptions!$B$47)</f>
        <v/>
      </c>
      <c r="H45" s="18">
        <f>IF(AND(Assumptions!$B$48&gt;0,Assumptions!$H$6&gt;=Assumptions!$B$48,Assumptions!$H$6&lt;Assumptions!$B$48+Assumptions!$B$49),G45,Assumptions!$H$98*Assumptions!$B$47)</f>
        <v/>
      </c>
    </row>
    <row r="46">
      <c r="A46" s="5" t="inlineStr">
        <is>
          <t xml:space="preserve">  Security programme (SOC 2, pen tests, tooling, insurance)</t>
        </is>
      </c>
      <c r="B46" s="18">
        <f>Assumptions!$B$99</f>
        <v/>
      </c>
      <c r="C46" s="18">
        <f>IF(AND(Assumptions!$B$48&gt;0,Assumptions!$C$6&gt;=Assumptions!$B$48,Assumptions!$C$6&lt;Assumptions!$B$48+Assumptions!$B$49),B46,Assumptions!$C$99*Assumptions!$B$47)</f>
        <v/>
      </c>
      <c r="D46" s="18">
        <f>IF(AND(Assumptions!$B$48&gt;0,Assumptions!$D$6&gt;=Assumptions!$B$48,Assumptions!$D$6&lt;Assumptions!$B$48+Assumptions!$B$49),C46,Assumptions!$D$99*Assumptions!$B$47)</f>
        <v/>
      </c>
      <c r="E46" s="18">
        <f>IF(AND(Assumptions!$B$48&gt;0,Assumptions!$E$6&gt;=Assumptions!$B$48,Assumptions!$E$6&lt;Assumptions!$B$48+Assumptions!$B$49),D46,Assumptions!$E$99*Assumptions!$B$47)</f>
        <v/>
      </c>
      <c r="F46" s="18">
        <f>IF(AND(Assumptions!$B$48&gt;0,Assumptions!$F$6&gt;=Assumptions!$B$48,Assumptions!$F$6&lt;Assumptions!$B$48+Assumptions!$B$49),E46,Assumptions!$F$99*Assumptions!$B$47)</f>
        <v/>
      </c>
      <c r="G46" s="18">
        <f>IF(AND(Assumptions!$B$48&gt;0,Assumptions!$G$6&gt;=Assumptions!$B$48,Assumptions!$G$6&lt;Assumptions!$B$48+Assumptions!$B$49),F46,Assumptions!$G$99*Assumptions!$B$47)</f>
        <v/>
      </c>
      <c r="H46" s="18">
        <f>IF(AND(Assumptions!$B$48&gt;0,Assumptions!$H$6&gt;=Assumptions!$B$48,Assumptions!$H$6&lt;Assumptions!$B$48+Assumptions!$B$49),G46,Assumptions!$H$99*Assumptions!$B$47)</f>
        <v/>
      </c>
    </row>
    <row r="47">
      <c r="A47" s="5" t="inlineStr">
        <is>
          <t xml:space="preserve">  Legal and regulatory</t>
        </is>
      </c>
      <c r="B47" s="18">
        <f>Assumptions!$B$100</f>
        <v/>
      </c>
      <c r="C47" s="18">
        <f>IF(AND(Assumptions!$B$48&gt;0,Assumptions!$C$6&gt;=Assumptions!$B$48,Assumptions!$C$6&lt;Assumptions!$B$48+Assumptions!$B$49),B47,Assumptions!$C$100*Assumptions!$B$47)</f>
        <v/>
      </c>
      <c r="D47" s="18">
        <f>IF(AND(Assumptions!$B$48&gt;0,Assumptions!$D$6&gt;=Assumptions!$B$48,Assumptions!$D$6&lt;Assumptions!$B$48+Assumptions!$B$49),C47,Assumptions!$D$100*Assumptions!$B$47)</f>
        <v/>
      </c>
      <c r="E47" s="18">
        <f>IF(AND(Assumptions!$B$48&gt;0,Assumptions!$E$6&gt;=Assumptions!$B$48,Assumptions!$E$6&lt;Assumptions!$B$48+Assumptions!$B$49),D47,Assumptions!$E$100*Assumptions!$B$47)</f>
        <v/>
      </c>
      <c r="F47" s="18">
        <f>IF(AND(Assumptions!$B$48&gt;0,Assumptions!$F$6&gt;=Assumptions!$B$48,Assumptions!$F$6&lt;Assumptions!$B$48+Assumptions!$B$49),E47,Assumptions!$F$100*Assumptions!$B$47)</f>
        <v/>
      </c>
      <c r="G47" s="18">
        <f>IF(AND(Assumptions!$B$48&gt;0,Assumptions!$G$6&gt;=Assumptions!$B$48,Assumptions!$G$6&lt;Assumptions!$B$48+Assumptions!$B$49),F47,Assumptions!$G$100*Assumptions!$B$47)</f>
        <v/>
      </c>
      <c r="H47" s="18">
        <f>IF(AND(Assumptions!$B$48&gt;0,Assumptions!$H$6&gt;=Assumptions!$B$48,Assumptions!$H$6&lt;Assumptions!$B$48+Assumptions!$B$49),G47,Assumptions!$H$100*Assumptions!$B$47)</f>
        <v/>
      </c>
    </row>
    <row r="48">
      <c r="A48" s="5" t="inlineStr">
        <is>
          <t xml:space="preserve">  Marketing programmes and events</t>
        </is>
      </c>
      <c r="B48" s="18">
        <f>Assumptions!$B$101</f>
        <v/>
      </c>
      <c r="C48" s="18">
        <f>IF(AND(Assumptions!$B$48&gt;0,Assumptions!$C$6&gt;=Assumptions!$B$48,Assumptions!$C$6&lt;Assumptions!$B$48+Assumptions!$B$49),B48,Assumptions!$C$101*Assumptions!$B$47)</f>
        <v/>
      </c>
      <c r="D48" s="18">
        <f>IF(AND(Assumptions!$B$48&gt;0,Assumptions!$D$6&gt;=Assumptions!$B$48,Assumptions!$D$6&lt;Assumptions!$B$48+Assumptions!$B$49),C48,Assumptions!$D$101*Assumptions!$B$47)</f>
        <v/>
      </c>
      <c r="E48" s="18">
        <f>IF(AND(Assumptions!$B$48&gt;0,Assumptions!$E$6&gt;=Assumptions!$B$48,Assumptions!$E$6&lt;Assumptions!$B$48+Assumptions!$B$49),D48,Assumptions!$E$101*Assumptions!$B$47)</f>
        <v/>
      </c>
      <c r="F48" s="18">
        <f>IF(AND(Assumptions!$B$48&gt;0,Assumptions!$F$6&gt;=Assumptions!$B$48,Assumptions!$F$6&lt;Assumptions!$B$48+Assumptions!$B$49),E48,Assumptions!$F$101*Assumptions!$B$47)</f>
        <v/>
      </c>
      <c r="G48" s="18">
        <f>IF(AND(Assumptions!$B$48&gt;0,Assumptions!$G$6&gt;=Assumptions!$B$48,Assumptions!$G$6&lt;Assumptions!$B$48+Assumptions!$B$49),F48,Assumptions!$G$101*Assumptions!$B$47)</f>
        <v/>
      </c>
      <c r="H48" s="18">
        <f>IF(AND(Assumptions!$B$48&gt;0,Assumptions!$H$6&gt;=Assumptions!$B$48,Assumptions!$H$6&lt;Assumptions!$B$48+Assumptions!$B$49),G48,Assumptions!$H$101*Assumptions!$B$47)</f>
        <v/>
      </c>
    </row>
    <row r="49">
      <c r="A49" s="5" t="inlineStr">
        <is>
          <t xml:space="preserve">  Travel and customer visits</t>
        </is>
      </c>
      <c r="B49" s="18">
        <f>Assumptions!$B$102</f>
        <v/>
      </c>
      <c r="C49" s="18">
        <f>IF(AND(Assumptions!$B$48&gt;0,Assumptions!$C$6&gt;=Assumptions!$B$48,Assumptions!$C$6&lt;Assumptions!$B$48+Assumptions!$B$49),B49,Assumptions!$C$102*Assumptions!$B$47)</f>
        <v/>
      </c>
      <c r="D49" s="18">
        <f>IF(AND(Assumptions!$B$48&gt;0,Assumptions!$D$6&gt;=Assumptions!$B$48,Assumptions!$D$6&lt;Assumptions!$B$48+Assumptions!$B$49),C49,Assumptions!$D$102*Assumptions!$B$47)</f>
        <v/>
      </c>
      <c r="E49" s="18">
        <f>IF(AND(Assumptions!$B$48&gt;0,Assumptions!$E$6&gt;=Assumptions!$B$48,Assumptions!$E$6&lt;Assumptions!$B$48+Assumptions!$B$49),D49,Assumptions!$E$102*Assumptions!$B$47)</f>
        <v/>
      </c>
      <c r="F49" s="18">
        <f>IF(AND(Assumptions!$B$48&gt;0,Assumptions!$F$6&gt;=Assumptions!$B$48,Assumptions!$F$6&lt;Assumptions!$B$48+Assumptions!$B$49),E49,Assumptions!$F$102*Assumptions!$B$47)</f>
        <v/>
      </c>
      <c r="G49" s="18">
        <f>IF(AND(Assumptions!$B$48&gt;0,Assumptions!$G$6&gt;=Assumptions!$B$48,Assumptions!$G$6&lt;Assumptions!$B$48+Assumptions!$B$49),F49,Assumptions!$G$102*Assumptions!$B$47)</f>
        <v/>
      </c>
      <c r="H49" s="18">
        <f>IF(AND(Assumptions!$B$48&gt;0,Assumptions!$H$6&gt;=Assumptions!$B$48,Assumptions!$H$6&lt;Assumptions!$B$48+Assumptions!$B$49),G49,Assumptions!$H$102*Assumptions!$B$47)</f>
        <v/>
      </c>
    </row>
    <row r="50">
      <c r="A50" s="5" t="inlineStr">
        <is>
          <t xml:space="preserve">  Office, software, admin, accounting</t>
        </is>
      </c>
      <c r="B50" s="18">
        <f>Assumptions!$B$103</f>
        <v/>
      </c>
      <c r="C50" s="18">
        <f>IF(AND(Assumptions!$B$48&gt;0,Assumptions!$C$6&gt;=Assumptions!$B$48,Assumptions!$C$6&lt;Assumptions!$B$48+Assumptions!$B$49),B50,Assumptions!$C$103*Assumptions!$B$47)</f>
        <v/>
      </c>
      <c r="D50" s="18">
        <f>IF(AND(Assumptions!$B$48&gt;0,Assumptions!$D$6&gt;=Assumptions!$B$48,Assumptions!$D$6&lt;Assumptions!$B$48+Assumptions!$B$49),C50,Assumptions!$D$103*Assumptions!$B$47)</f>
        <v/>
      </c>
      <c r="E50" s="18">
        <f>IF(AND(Assumptions!$B$48&gt;0,Assumptions!$E$6&gt;=Assumptions!$B$48,Assumptions!$E$6&lt;Assumptions!$B$48+Assumptions!$B$49),D50,Assumptions!$E$103*Assumptions!$B$47)</f>
        <v/>
      </c>
      <c r="F50" s="18">
        <f>IF(AND(Assumptions!$B$48&gt;0,Assumptions!$F$6&gt;=Assumptions!$B$48,Assumptions!$F$6&lt;Assumptions!$B$48+Assumptions!$B$49),E50,Assumptions!$F$103*Assumptions!$B$47)</f>
        <v/>
      </c>
      <c r="G50" s="18">
        <f>IF(AND(Assumptions!$B$48&gt;0,Assumptions!$G$6&gt;=Assumptions!$B$48,Assumptions!$G$6&lt;Assumptions!$B$48+Assumptions!$B$49),F50,Assumptions!$G$103*Assumptions!$B$47)</f>
        <v/>
      </c>
      <c r="H50" s="18">
        <f>IF(AND(Assumptions!$B$48&gt;0,Assumptions!$H$6&gt;=Assumptions!$B$48,Assumptions!$H$6&lt;Assumptions!$B$48+Assumptions!$B$49),G50,Assumptions!$H$103*Assumptions!$B$47)</f>
        <v/>
      </c>
    </row>
    <row r="51">
      <c r="A51" s="5" t="inlineStr">
        <is>
          <t xml:space="preserve">  Partner commission on carrier revenue</t>
        </is>
      </c>
      <c r="B51" s="18">
        <f>B24*Assumptions!$B$43</f>
        <v/>
      </c>
      <c r="C51" s="18">
        <f>C24*Assumptions!$B$43</f>
        <v/>
      </c>
      <c r="D51" s="18">
        <f>D24*Assumptions!$B$43</f>
        <v/>
      </c>
      <c r="E51" s="18">
        <f>E24*Assumptions!$B$43</f>
        <v/>
      </c>
      <c r="F51" s="18">
        <f>F24*Assumptions!$B$43</f>
        <v/>
      </c>
      <c r="G51" s="18">
        <f>G24*Assumptions!$B$43</f>
        <v/>
      </c>
      <c r="H51" s="18">
        <f>H24*Assumptions!$B$43</f>
        <v/>
      </c>
    </row>
    <row r="52">
      <c r="A52" s="5" t="inlineStr">
        <is>
          <t>Cost of revenue</t>
        </is>
      </c>
      <c r="B52" s="18">
        <f>B43+B45+B30*Assumptions!$B$50</f>
        <v/>
      </c>
      <c r="C52" s="18">
        <f>C43+C45+C30*Assumptions!$B$50</f>
        <v/>
      </c>
      <c r="D52" s="18">
        <f>D43+D45+D30*Assumptions!$B$50</f>
        <v/>
      </c>
      <c r="E52" s="18">
        <f>E43+E45+E30*Assumptions!$B$50</f>
        <v/>
      </c>
      <c r="F52" s="18">
        <f>F43+F45+F30*Assumptions!$B$50</f>
        <v/>
      </c>
      <c r="G52" s="18">
        <f>G43+G45+G30*Assumptions!$B$50</f>
        <v/>
      </c>
      <c r="H52" s="18">
        <f>H43+H45+H30*Assumptions!$B$50</f>
        <v/>
      </c>
    </row>
    <row r="53">
      <c r="A53" s="5" t="inlineStr">
        <is>
          <t>Gross profit</t>
        </is>
      </c>
      <c r="B53" s="18">
        <f>B30-B52</f>
        <v/>
      </c>
      <c r="C53" s="18">
        <f>C30-C52</f>
        <v/>
      </c>
      <c r="D53" s="18">
        <f>D30-D52</f>
        <v/>
      </c>
      <c r="E53" s="18">
        <f>E30-E52</f>
        <v/>
      </c>
      <c r="F53" s="18">
        <f>F30-F52</f>
        <v/>
      </c>
      <c r="G53" s="18">
        <f>G30-G52</f>
        <v/>
      </c>
      <c r="H53" s="18">
        <f>H30-H52</f>
        <v/>
      </c>
    </row>
    <row r="54">
      <c r="A54" s="5" t="inlineStr">
        <is>
          <t>Gross margin</t>
        </is>
      </c>
      <c r="B54" s="12">
        <f>IF(B30=0,0,B53/B30)</f>
        <v/>
      </c>
      <c r="C54" s="12">
        <f>IF(C30=0,0,C53/C30)</f>
        <v/>
      </c>
      <c r="D54" s="12">
        <f>IF(D30=0,0,D53/D30)</f>
        <v/>
      </c>
      <c r="E54" s="12">
        <f>IF(E30=0,0,E53/E30)</f>
        <v/>
      </c>
      <c r="F54" s="12">
        <f>IF(F30=0,0,F53/F30)</f>
        <v/>
      </c>
      <c r="G54" s="12">
        <f>IF(G30=0,0,G53/G30)</f>
        <v/>
      </c>
      <c r="H54" s="12">
        <f>IF(H30=0,0,H53/H30)</f>
        <v/>
      </c>
    </row>
    <row r="55">
      <c r="A55" s="5" t="inlineStr">
        <is>
          <t>Operating expense</t>
        </is>
      </c>
      <c r="B55" s="18">
        <f>B44+B46+B47+B48+B49+B50+B51</f>
        <v/>
      </c>
      <c r="C55" s="18">
        <f>C44+C46+C47+C48+C49+C50+C51</f>
        <v/>
      </c>
      <c r="D55" s="18">
        <f>D44+D46+D47+D48+D49+D50+D51</f>
        <v/>
      </c>
      <c r="E55" s="18">
        <f>E44+E46+E47+E48+E49+E50+E51</f>
        <v/>
      </c>
      <c r="F55" s="18">
        <f>F44+F46+F47+F48+F49+F50+F51</f>
        <v/>
      </c>
      <c r="G55" s="18">
        <f>G44+G46+G47+G48+G49+G50+G51</f>
        <v/>
      </c>
      <c r="H55" s="18">
        <f>H44+H46+H47+H48+H49+H50+H51</f>
        <v/>
      </c>
    </row>
    <row r="56">
      <c r="A56" s="17" t="inlineStr">
        <is>
          <t>EBITDA</t>
        </is>
      </c>
      <c r="B56" s="18">
        <f>B53-B55</f>
        <v/>
      </c>
      <c r="C56" s="18">
        <f>C53-C55</f>
        <v/>
      </c>
      <c r="D56" s="18">
        <f>D53-D55</f>
        <v/>
      </c>
      <c r="E56" s="18">
        <f>E53-E55</f>
        <v/>
      </c>
      <c r="F56" s="18">
        <f>F53-F55</f>
        <v/>
      </c>
      <c r="G56" s="18">
        <f>G53-G55</f>
        <v/>
      </c>
      <c r="H56" s="18">
        <f>H53-H55</f>
        <v/>
      </c>
    </row>
    <row r="57">
      <c r="A57" s="5" t="inlineStr">
        <is>
          <t>Capex</t>
        </is>
      </c>
      <c r="B57" s="18">
        <f>Assumptions!$B$15*B42</f>
        <v/>
      </c>
      <c r="C57" s="18">
        <f>Assumptions!$B$15*MAX(0,C42-B42)</f>
        <v/>
      </c>
      <c r="D57" s="18">
        <f>Assumptions!$B$15*MAX(0,D42-C42)</f>
        <v/>
      </c>
      <c r="E57" s="18">
        <f>Assumptions!$B$15*MAX(0,E42-D42)</f>
        <v/>
      </c>
      <c r="F57" s="18">
        <f>Assumptions!$B$15*MAX(0,F42-E42)</f>
        <v/>
      </c>
      <c r="G57" s="18">
        <f>Assumptions!$B$15*MAX(0,G42-F42)</f>
        <v/>
      </c>
      <c r="H57" s="18">
        <f>Assumptions!$B$15*MAX(0,H42-G42)</f>
        <v/>
      </c>
    </row>
    <row r="58">
      <c r="A58" s="5" t="inlineStr">
        <is>
          <t>Depreciation</t>
        </is>
      </c>
      <c r="B58" s="18">
        <f>SUMPRODUCT((Assumptions!$B$6:$H$6&lt;=Assumptions!$B$6)*(Assumptions!$B$6:$H$6&gt;Assumptions!$B$6-Assumptions!$B$16)*$B$57:$H$57)/Assumptions!$B$16</f>
        <v/>
      </c>
      <c r="C58" s="18">
        <f>SUMPRODUCT((Assumptions!$B$6:$H$6&lt;=Assumptions!$C$6)*(Assumptions!$B$6:$H$6&gt;Assumptions!$C$6-Assumptions!$B$16)*$B$57:$H$57)/Assumptions!$B$16</f>
        <v/>
      </c>
      <c r="D58" s="18">
        <f>SUMPRODUCT((Assumptions!$B$6:$H$6&lt;=Assumptions!$D$6)*(Assumptions!$B$6:$H$6&gt;Assumptions!$D$6-Assumptions!$B$16)*$B$57:$H$57)/Assumptions!$B$16</f>
        <v/>
      </c>
      <c r="E58" s="18">
        <f>SUMPRODUCT((Assumptions!$B$6:$H$6&lt;=Assumptions!$E$6)*(Assumptions!$B$6:$H$6&gt;Assumptions!$E$6-Assumptions!$B$16)*$B$57:$H$57)/Assumptions!$B$16</f>
        <v/>
      </c>
      <c r="F58" s="18">
        <f>SUMPRODUCT((Assumptions!$B$6:$H$6&lt;=Assumptions!$F$6)*(Assumptions!$B$6:$H$6&gt;Assumptions!$F$6-Assumptions!$B$16)*$B$57:$H$57)/Assumptions!$B$16</f>
        <v/>
      </c>
      <c r="G58" s="18">
        <f>SUMPRODUCT((Assumptions!$B$6:$H$6&lt;=Assumptions!$G$6)*(Assumptions!$B$6:$H$6&gt;Assumptions!$G$6-Assumptions!$B$16)*$B$57:$H$57)/Assumptions!$B$16</f>
        <v/>
      </c>
      <c r="H58" s="18">
        <f>SUMPRODUCT((Assumptions!$B$6:$H$6&lt;=Assumptions!$H$6)*(Assumptions!$B$6:$H$6&gt;Assumptions!$H$6-Assumptions!$B$16)*$B$57:$H$57)/Assumptions!$B$16</f>
        <v/>
      </c>
    </row>
    <row r="59">
      <c r="A59" s="5" t="inlineStr">
        <is>
          <t>Profit before tax</t>
        </is>
      </c>
      <c r="B59" s="18">
        <f>B56-B58+Assumptions!$B$18*Assumptions!$B$17</f>
        <v/>
      </c>
      <c r="C59" s="18">
        <f>C56-C58+B66*Assumptions!$B$17</f>
        <v/>
      </c>
      <c r="D59" s="18">
        <f>D56-D58+C66*Assumptions!$B$17</f>
        <v/>
      </c>
      <c r="E59" s="18">
        <f>E56-E58+D66*Assumptions!$B$17</f>
        <v/>
      </c>
      <c r="F59" s="18">
        <f>F56-F58+E66*Assumptions!$B$17</f>
        <v/>
      </c>
      <c r="G59" s="18">
        <f>G56-G58+F66*Assumptions!$B$17</f>
        <v/>
      </c>
      <c r="H59" s="18">
        <f>H56-H58+G66*Assumptions!$B$17</f>
        <v/>
      </c>
    </row>
    <row r="60">
      <c r="A60" s="5" t="inlineStr">
        <is>
          <t>Cumulative profit before tax</t>
        </is>
      </c>
      <c r="B60" s="18">
        <f>B59</f>
        <v/>
      </c>
      <c r="C60" s="18">
        <f>B60+C59</f>
        <v/>
      </c>
      <c r="D60" s="18">
        <f>C60+D59</f>
        <v/>
      </c>
      <c r="E60" s="18">
        <f>D60+E59</f>
        <v/>
      </c>
      <c r="F60" s="18">
        <f>E60+F59</f>
        <v/>
      </c>
      <c r="G60" s="18">
        <f>F60+G59</f>
        <v/>
      </c>
      <c r="H60" s="18">
        <f>G60+H59</f>
        <v/>
      </c>
    </row>
    <row r="61">
      <c r="A61" s="5" t="inlineStr">
        <is>
          <t>Tax</t>
        </is>
      </c>
      <c r="B61" s="18">
        <f>MAX(0,B60)*Assumptions!$B$12</f>
        <v/>
      </c>
      <c r="C61" s="18">
        <f>MAX(0,MAX(0,C60)-MAX(0,B60))*Assumptions!$B$12</f>
        <v/>
      </c>
      <c r="D61" s="18">
        <f>MAX(0,MAX(0,D60)-MAX(0,C60))*Assumptions!$B$12</f>
        <v/>
      </c>
      <c r="E61" s="18">
        <f>MAX(0,MAX(0,E60)-MAX(0,D60))*Assumptions!$B$12</f>
        <v/>
      </c>
      <c r="F61" s="18">
        <f>MAX(0,MAX(0,F60)-MAX(0,E60))*Assumptions!$B$12</f>
        <v/>
      </c>
      <c r="G61" s="18">
        <f>MAX(0,MAX(0,G60)-MAX(0,F60))*Assumptions!$B$12</f>
        <v/>
      </c>
      <c r="H61" s="18">
        <f>MAX(0,MAX(0,H60)-MAX(0,G60))*Assumptions!$B$12</f>
        <v/>
      </c>
    </row>
    <row r="62">
      <c r="A62" s="17" t="inlineStr">
        <is>
          <t>Net income</t>
        </is>
      </c>
      <c r="B62" s="18">
        <f>B59-B61</f>
        <v/>
      </c>
      <c r="C62" s="18">
        <f>C59-C61</f>
        <v/>
      </c>
      <c r="D62" s="18">
        <f>D59-D61</f>
        <v/>
      </c>
      <c r="E62" s="18">
        <f>E59-E61</f>
        <v/>
      </c>
      <c r="F62" s="18">
        <f>F59-F61</f>
        <v/>
      </c>
      <c r="G62" s="18">
        <f>G59-G61</f>
        <v/>
      </c>
      <c r="H62" s="18">
        <f>H59-H61</f>
        <v/>
      </c>
    </row>
    <row r="63">
      <c r="A63" s="5" t="inlineStr">
        <is>
          <t>Receivables</t>
        </is>
      </c>
      <c r="B63" s="18">
        <f>B30*Assumptions!$B$13/365</f>
        <v/>
      </c>
      <c r="C63" s="18">
        <f>C30*Assumptions!$B$13/365</f>
        <v/>
      </c>
      <c r="D63" s="18">
        <f>D30*Assumptions!$B$13/365</f>
        <v/>
      </c>
      <c r="E63" s="18">
        <f>E30*Assumptions!$B$13/365</f>
        <v/>
      </c>
      <c r="F63" s="18">
        <f>F30*Assumptions!$B$13/365</f>
        <v/>
      </c>
      <c r="G63" s="18">
        <f>G30*Assumptions!$B$13/365</f>
        <v/>
      </c>
      <c r="H63" s="18">
        <f>H30*Assumptions!$B$13/365</f>
        <v/>
      </c>
    </row>
    <row r="64">
      <c r="A64" s="5" t="inlineStr">
        <is>
          <t>Payables</t>
        </is>
      </c>
      <c r="B64" s="18">
        <f>(B45+B30*Assumptions!$B$50+B46+B47+B48+B49+B50+B51)*Assumptions!$B$14/365</f>
        <v/>
      </c>
      <c r="C64" s="18">
        <f>(C45+C30*Assumptions!$B$50+C46+C47+C48+C49+C50+C51)*Assumptions!$B$14/365</f>
        <v/>
      </c>
      <c r="D64" s="18">
        <f>(D45+D30*Assumptions!$B$50+D46+D47+D48+D49+D50+D51)*Assumptions!$B$14/365</f>
        <v/>
      </c>
      <c r="E64" s="18">
        <f>(E45+E30*Assumptions!$B$50+E46+E47+E48+E49+E50+E51)*Assumptions!$B$14/365</f>
        <v/>
      </c>
      <c r="F64" s="18">
        <f>(F45+F30*Assumptions!$B$50+F46+F47+F48+F49+F50+F51)*Assumptions!$B$14/365</f>
        <v/>
      </c>
      <c r="G64" s="18">
        <f>(G45+G30*Assumptions!$B$50+G46+G47+G48+G49+G50+G51)*Assumptions!$B$14/365</f>
        <v/>
      </c>
      <c r="H64" s="18">
        <f>(H45+H30*Assumptions!$B$50+H46+H47+H48+H49+H50+H51)*Assumptions!$B$14/365</f>
        <v/>
      </c>
    </row>
    <row r="65">
      <c r="A65" s="17" t="inlineStr">
        <is>
          <t>Free cash flow (before financing)</t>
        </is>
      </c>
      <c r="B65" s="18">
        <f>B62+B58-(B63)+(B64)-B57</f>
        <v/>
      </c>
      <c r="C65" s="18">
        <f>C62+C58-(C63-B63)+(C64-B64)-C57</f>
        <v/>
      </c>
      <c r="D65" s="18">
        <f>D62+D58-(D63-C63)+(D64-C64)-D57</f>
        <v/>
      </c>
      <c r="E65" s="18">
        <f>E62+E58-(E63-D63)+(E64-D64)-E57</f>
        <v/>
      </c>
      <c r="F65" s="18">
        <f>F62+F58-(F63-E63)+(F64-E64)-F57</f>
        <v/>
      </c>
      <c r="G65" s="18">
        <f>G62+G58-(G63-F63)+(G64-F64)-G57</f>
        <v/>
      </c>
      <c r="H65" s="18">
        <f>H62+H58-(H63-G63)+(H64-G64)-H57</f>
        <v/>
      </c>
    </row>
    <row r="66">
      <c r="A66" s="17" t="inlineStr">
        <is>
          <t>Closing cash with the planned rounds</t>
        </is>
      </c>
      <c r="B66" s="18">
        <f>Assumptions!$B$18+B65+IF(Assumptions!$B$6=Assumptions!$B$22,Assumptions!$B$21,0)+IF(Assumptions!$B$6=Assumptions!$B$24,Assumptions!$B$23,0)+IF(Assumptions!$B$6=Assumptions!$B$26,Assumptions!$B$25,0)</f>
        <v/>
      </c>
      <c r="C66" s="18">
        <f>B66+C65+IF(Assumptions!$C$6=Assumptions!$B$22,Assumptions!$B$21,0)+IF(Assumptions!$C$6=Assumptions!$B$24,Assumptions!$B$23,0)+IF(Assumptions!$C$6=Assumptions!$B$26,Assumptions!$B$25,0)</f>
        <v/>
      </c>
      <c r="D66" s="18">
        <f>C66+D65+IF(Assumptions!$D$6=Assumptions!$B$22,Assumptions!$B$21,0)+IF(Assumptions!$D$6=Assumptions!$B$24,Assumptions!$B$23,0)+IF(Assumptions!$D$6=Assumptions!$B$26,Assumptions!$B$25,0)</f>
        <v/>
      </c>
      <c r="E66" s="18">
        <f>D66+E65+IF(Assumptions!$E$6=Assumptions!$B$22,Assumptions!$B$21,0)+IF(Assumptions!$E$6=Assumptions!$B$24,Assumptions!$B$23,0)+IF(Assumptions!$E$6=Assumptions!$B$26,Assumptions!$B$25,0)</f>
        <v/>
      </c>
      <c r="F66" s="18">
        <f>E66+F65+IF(Assumptions!$F$6=Assumptions!$B$22,Assumptions!$B$21,0)+IF(Assumptions!$F$6=Assumptions!$B$24,Assumptions!$B$23,0)+IF(Assumptions!$F$6=Assumptions!$B$26,Assumptions!$B$25,0)</f>
        <v/>
      </c>
      <c r="G66" s="18">
        <f>F66+G65+IF(Assumptions!$G$6=Assumptions!$B$22,Assumptions!$B$21,0)+IF(Assumptions!$G$6=Assumptions!$B$24,Assumptions!$B$23,0)+IF(Assumptions!$G$6=Assumptions!$B$26,Assumptions!$B$25,0)</f>
        <v/>
      </c>
      <c r="H66" s="18">
        <f>G66+H65+IF(Assumptions!$H$6=Assumptions!$B$22,Assumptions!$B$21,0)+IF(Assumptions!$H$6=Assumptions!$B$24,Assumptions!$B$23,0)+IF(Assumptions!$H$6=Assumptions!$B$26,Assumptions!$B$25,0)</f>
        <v/>
      </c>
    </row>
    <row r="67">
      <c r="A67" s="5" t="inlineStr">
        <is>
          <t>Cumulative free cash flow</t>
        </is>
      </c>
      <c r="B67" s="18">
        <f>B65</f>
        <v/>
      </c>
      <c r="C67" s="18">
        <f>B67+C65</f>
        <v/>
      </c>
      <c r="D67" s="18">
        <f>C67+D65</f>
        <v/>
      </c>
      <c r="E67" s="18">
        <f>D67+E65</f>
        <v/>
      </c>
      <c r="F67" s="18">
        <f>E67+F65</f>
        <v/>
      </c>
      <c r="G67" s="18">
        <f>F67+G65</f>
        <v/>
      </c>
      <c r="H67" s="18">
        <f>G67+H65</f>
        <v/>
      </c>
    </row>
    <row r="68">
      <c r="A68" s="5" t="inlineStr">
        <is>
          <t>Cumulative FCF before the Series A year</t>
        </is>
      </c>
      <c r="B68" s="18">
        <f>IF(Assumptions!$B$6&lt;Assumptions!$B$26,B67,0)</f>
        <v/>
      </c>
      <c r="C68" s="18">
        <f>IF(Assumptions!$C$6&lt;Assumptions!$B$26,C67,0)</f>
        <v/>
      </c>
      <c r="D68" s="18">
        <f>IF(Assumptions!$D$6&lt;Assumptions!$B$26,D67,0)</f>
        <v/>
      </c>
      <c r="E68" s="18">
        <f>IF(Assumptions!$E$6&lt;Assumptions!$B$26,E67,0)</f>
        <v/>
      </c>
      <c r="F68" s="18">
        <f>IF(Assumptions!$F$6&lt;Assumptions!$B$26,F67,0)</f>
        <v/>
      </c>
      <c r="G68" s="18">
        <f>IF(Assumptions!$G$6&lt;Assumptions!$B$26,G67,0)</f>
        <v/>
      </c>
      <c r="H68" s="18">
        <f>IF(Assumptions!$H$6&lt;Assumptions!$B$26,H67,0)</f>
        <v/>
      </c>
    </row>
    <row r="69">
      <c r="A69" s="17" t="inlineStr">
        <is>
          <t>Lowest year-end cash with the planned rounds</t>
        </is>
      </c>
      <c r="B69" s="18">
        <f>MIN(B66:H66)</f>
        <v/>
      </c>
    </row>
    <row r="70">
      <c r="A70" s="17" t="inlineStr">
        <is>
          <t>Total equity need incl. buffer</t>
        </is>
      </c>
      <c r="B70" s="18">
        <f>MAX(0,-MIN(B67:H67))*(1+Assumptions!$B$20)</f>
        <v/>
      </c>
    </row>
    <row r="71">
      <c r="A71" s="17" t="inlineStr">
        <is>
          <t>Seed need incl. buffer (deepest point before a mid-year Series A)</t>
        </is>
      </c>
      <c r="B71" s="18">
        <f>MAX(0,-MIN(0,MIN(B68:H68),SUMPRODUCT((Assumptions!$B$6:$H$6&lt;Assumptions!$B$26)*$B$65:$H$65)+0.5*SUMPRODUCT((Assumptions!$B$6:$H$6=Assumptions!$B$26)*$B$65:$H$65)))*(1+Assumptions!$B$20)</f>
        <v/>
      </c>
    </row>
    <row r="72">
      <c r="A72" s="5" t="inlineStr">
        <is>
          <t>Month ARR crosses the Series A milestone (linear within year)</t>
        </is>
      </c>
      <c r="B72" s="16">
        <f>IF(B31&gt;=Assumptions!$B$19,12*Assumptions!$B$19/B31,"")</f>
        <v/>
      </c>
      <c r="C72" s="16">
        <f>IF(AND(C31&gt;=Assumptions!$B$19,B31&lt;Assumptions!$B$19),12*(Assumptions!$C$6-1)+12*(Assumptions!$B$19-B31)/(C31-B31),"")</f>
        <v/>
      </c>
      <c r="D72" s="16">
        <f>IF(AND(D31&gt;=Assumptions!$B$19,C31&lt;Assumptions!$B$19),12*(Assumptions!$D$6-1)+12*(Assumptions!$B$19-C31)/(D31-C31),"")</f>
        <v/>
      </c>
      <c r="E72" s="16">
        <f>IF(AND(E31&gt;=Assumptions!$B$19,D31&lt;Assumptions!$B$19),12*(Assumptions!$E$6-1)+12*(Assumptions!$B$19-D31)/(E31-D31),"")</f>
        <v/>
      </c>
      <c r="F72" s="16">
        <f>IF(AND(F31&gt;=Assumptions!$B$19,E31&lt;Assumptions!$B$19),12*(Assumptions!$F$6-1)+12*(Assumptions!$B$19-E31)/(F31-E31),"")</f>
        <v/>
      </c>
      <c r="G72" s="16">
        <f>IF(AND(G31&gt;=Assumptions!$B$19,F31&lt;Assumptions!$B$19),12*(Assumptions!$G$6-1)+12*(Assumptions!$B$19-F31)/(G31-F31),"")</f>
        <v/>
      </c>
      <c r="H72" s="16">
        <f>IF(AND(H31&gt;=Assumptions!$B$19,G31&lt;Assumptions!$B$19),12*(Assumptions!$H$6-1)+12*(Assumptions!$B$19-G31)/(H31-G31),"")</f>
        <v/>
      </c>
    </row>
    <row r="73">
      <c r="A73" s="17" t="inlineStr">
        <is>
          <t>Series A milestone month</t>
        </is>
      </c>
      <c r="B73" s="14">
        <f>IF(COUNT(B72:H72)=0,"not reached",ROUNDUP(SUM(B72:H72),0))</f>
        <v/>
      </c>
    </row>
    <row r="74">
      <c r="A74" s="5" t="inlineStr">
        <is>
          <t>Cash if only the seed is raised</t>
        </is>
      </c>
      <c r="B74" s="18">
        <f>(Assumptions!$B$18+Assumptions!$B$21+Assumptions!$B$23)+B67</f>
        <v/>
      </c>
      <c r="C74" s="18">
        <f>(Assumptions!$B$18+Assumptions!$B$21+Assumptions!$B$23)+C67</f>
        <v/>
      </c>
      <c r="D74" s="18">
        <f>(Assumptions!$B$18+Assumptions!$B$21+Assumptions!$B$23)+D67</f>
        <v/>
      </c>
      <c r="E74" s="18">
        <f>(Assumptions!$B$18+Assumptions!$B$21+Assumptions!$B$23)+E67</f>
        <v/>
      </c>
      <c r="F74" s="18">
        <f>(Assumptions!$B$18+Assumptions!$B$21+Assumptions!$B$23)+F67</f>
        <v/>
      </c>
      <c r="G74" s="18">
        <f>(Assumptions!$B$18+Assumptions!$B$21+Assumptions!$B$23)+G67</f>
        <v/>
      </c>
      <c r="H74" s="18">
        <f>(Assumptions!$B$18+Assumptions!$B$21+Assumptions!$B$23)+H67</f>
        <v/>
      </c>
    </row>
    <row r="75">
      <c r="A75" s="5" t="inlineStr">
        <is>
          <t>Month seed-only cash runs out (linear within year)</t>
        </is>
      </c>
      <c r="B75" s="16">
        <f>IF(B74&lt;0,12*(Assumptions!$B$18+Assumptions!$B$21+Assumptions!$B$23)/((Assumptions!$B$18+Assumptions!$B$21+Assumptions!$B$23)-B74),"")</f>
        <v/>
      </c>
      <c r="C75" s="16">
        <f>IF(AND(C74&lt;0,B74&gt;=0),12*(Assumptions!$C$6-1)+12*B74/(B74-C74),"")</f>
        <v/>
      </c>
      <c r="D75" s="16">
        <f>IF(AND(D74&lt;0,C74&gt;=0),12*(Assumptions!$D$6-1)+12*C74/(C74-D74),"")</f>
        <v/>
      </c>
      <c r="E75" s="16">
        <f>IF(AND(E74&lt;0,D74&gt;=0),12*(Assumptions!$E$6-1)+12*D74/(D74-E74),"")</f>
        <v/>
      </c>
      <c r="F75" s="16">
        <f>IF(AND(F74&lt;0,E74&gt;=0),12*(Assumptions!$F$6-1)+12*E74/(E74-F74),"")</f>
        <v/>
      </c>
      <c r="G75" s="16">
        <f>IF(AND(G74&lt;0,F74&gt;=0),12*(Assumptions!$G$6-1)+12*F74/(F74-G74),"")</f>
        <v/>
      </c>
      <c r="H75" s="16">
        <f>IF(AND(H74&lt;0,G74&gt;=0),12*(Assumptions!$H$6-1)+12*G74/(G74-H74),"")</f>
        <v/>
      </c>
    </row>
    <row r="76">
      <c r="A76" s="17" t="inlineStr">
        <is>
          <t>Seed runway in months, without a Series A</t>
        </is>
      </c>
      <c r="B76" s="14">
        <f>IF(COUNT(B75:H75)=0,"beyond month 84",ROUNDDOWN(SUM(B75:H75),0))</f>
        <v/>
      </c>
    </row>
    <row r="77"/>
    <row r="78">
      <c r="A78" s="2" t="inlineStr">
        <is>
          <t>Bull case</t>
        </is>
      </c>
      <c r="B78" s="2">
        <f>"Y"&amp;Assumptions!$B$6</f>
        <v/>
      </c>
      <c r="C78" s="2">
        <f>"Y"&amp;Assumptions!$C$6</f>
        <v/>
      </c>
      <c r="D78" s="2">
        <f>"Y"&amp;Assumptions!$D$6</f>
        <v/>
      </c>
      <c r="E78" s="2">
        <f>"Y"&amp;Assumptions!$E$6</f>
        <v/>
      </c>
      <c r="F78" s="2">
        <f>"Y"&amp;Assumptions!$F$6</f>
        <v/>
      </c>
      <c r="G78" s="2">
        <f>"Y"&amp;Assumptions!$G$6</f>
        <v/>
      </c>
      <c r="H78" s="2">
        <f>"Y"&amp;Assumptions!$H$6</f>
        <v/>
      </c>
    </row>
    <row r="79">
      <c r="A79" s="5" t="inlineStr">
        <is>
          <t>Shippers (mid-market): new accounts</t>
        </is>
      </c>
      <c r="B79" s="14">
        <f>ROUND(Assumptions!$B$53*Assumptions!$B$39,0)</f>
        <v/>
      </c>
      <c r="C79" s="14">
        <f>ROUND(Assumptions!$C$53*Assumptions!$B$39,0)</f>
        <v/>
      </c>
      <c r="D79" s="14">
        <f>ROUND(Assumptions!$D$53*Assumptions!$B$39,0)</f>
        <v/>
      </c>
      <c r="E79" s="14">
        <f>ROUND(Assumptions!$E$53*Assumptions!$B$39,0)</f>
        <v/>
      </c>
      <c r="F79" s="14">
        <f>ROUND(Assumptions!$F$53*Assumptions!$B$39,0)</f>
        <v/>
      </c>
      <c r="G79" s="14">
        <f>ROUND(Assumptions!$G$53*Assumptions!$B$39,0)</f>
        <v/>
      </c>
      <c r="H79" s="14">
        <f>ROUND(Assumptions!$H$53*Assumptions!$B$39,0)</f>
        <v/>
      </c>
    </row>
    <row r="80">
      <c r="A80" s="5" t="inlineStr">
        <is>
          <t>Shippers (mid-market): accounts lost = ROUND(prior year-end x churn)</t>
        </is>
      </c>
      <c r="B80" s="14">
        <f>0</f>
        <v/>
      </c>
      <c r="C80" s="14">
        <f>ROUND(B81*Assumptions!$C$45,0)</f>
        <v/>
      </c>
      <c r="D80" s="14">
        <f>ROUND(C81*Assumptions!$C$45,0)</f>
        <v/>
      </c>
      <c r="E80" s="14">
        <f>ROUND(D81*Assumptions!$C$45,0)</f>
        <v/>
      </c>
      <c r="F80" s="14">
        <f>ROUND(E81*Assumptions!$C$45,0)</f>
        <v/>
      </c>
      <c r="G80" s="14">
        <f>ROUND(F81*Assumptions!$C$45,0)</f>
        <v/>
      </c>
      <c r="H80" s="14">
        <f>ROUND(G81*Assumptions!$C$45,0)</f>
        <v/>
      </c>
    </row>
    <row r="81">
      <c r="A81" s="17" t="inlineStr">
        <is>
          <t>Shippers (mid-market): accounts at year end</t>
        </is>
      </c>
      <c r="B81" s="14">
        <f>B79</f>
        <v/>
      </c>
      <c r="C81" s="14">
        <f>B81-C80+C79</f>
        <v/>
      </c>
      <c r="D81" s="14">
        <f>C81-D80+D79</f>
        <v/>
      </c>
      <c r="E81" s="14">
        <f>D81-E80+E79</f>
        <v/>
      </c>
      <c r="F81" s="14">
        <f>E81-F80+F79</f>
        <v/>
      </c>
      <c r="G81" s="14">
        <f>F81-G80+G79</f>
        <v/>
      </c>
      <c r="H81" s="14">
        <f>G81-H80+H79</f>
        <v/>
      </c>
    </row>
    <row r="82">
      <c r="A82" s="5" t="inlineStr">
        <is>
          <t>Shippers (mid-market): average accounts</t>
        </is>
      </c>
      <c r="B82" s="16">
        <f>B81/2</f>
        <v/>
      </c>
      <c r="C82" s="16">
        <f>(B81+C81)/2</f>
        <v/>
      </c>
      <c r="D82" s="16">
        <f>(C81+D81)/2</f>
        <v/>
      </c>
      <c r="E82" s="16">
        <f>(D81+E81)/2</f>
        <v/>
      </c>
      <c r="F82" s="16">
        <f>(E81+F81)/2</f>
        <v/>
      </c>
      <c r="G82" s="16">
        <f>(F81+G81)/2</f>
        <v/>
      </c>
      <c r="H82" s="16">
        <f>(G81+H81)/2</f>
        <v/>
      </c>
    </row>
    <row r="83">
      <c r="A83" s="5" t="inlineStr">
        <is>
          <t>Shippers (mid-market): revenue per account ($K)</t>
        </is>
      </c>
      <c r="B83" s="16">
        <f>(Assumptions!$B$35+Assumptions!$B$36*Assumptions!$B$40*Assumptions!$B$37)*Assumptions!$C$46</f>
        <v/>
      </c>
      <c r="C83" s="16">
        <f>(Assumptions!$C$35+Assumptions!$C$36*Assumptions!$B$40*Assumptions!$C$37)*Assumptions!$C$46</f>
        <v/>
      </c>
      <c r="D83" s="16">
        <f>(Assumptions!$D$35+Assumptions!$D$36*Assumptions!$B$40*Assumptions!$D$37)*Assumptions!$C$46</f>
        <v/>
      </c>
      <c r="E83" s="16">
        <f>(Assumptions!$E$35+Assumptions!$E$36*Assumptions!$B$40*Assumptions!$E$37)*Assumptions!$C$46</f>
        <v/>
      </c>
      <c r="F83" s="16">
        <f>(Assumptions!$F$35+Assumptions!$F$36*Assumptions!$B$40*Assumptions!$F$37)*Assumptions!$C$46</f>
        <v/>
      </c>
      <c r="G83" s="16">
        <f>(Assumptions!$G$35+Assumptions!$G$36*Assumptions!$B$40*Assumptions!$G$37)*Assumptions!$C$46</f>
        <v/>
      </c>
      <c r="H83" s="16">
        <f>(Assumptions!$H$35+Assumptions!$H$36*Assumptions!$B$40*Assumptions!$H$37)*Assumptions!$C$46</f>
        <v/>
      </c>
    </row>
    <row r="84">
      <c r="A84" s="5" t="inlineStr">
        <is>
          <t>Shippers (mid-market): revenue</t>
        </is>
      </c>
      <c r="B84" s="18">
        <f>B82*B83</f>
        <v/>
      </c>
      <c r="C84" s="18">
        <f>C82*C83</f>
        <v/>
      </c>
      <c r="D84" s="18">
        <f>D82*D83</f>
        <v/>
      </c>
      <c r="E84" s="18">
        <f>E82*E83</f>
        <v/>
      </c>
      <c r="F84" s="18">
        <f>F82*F83</f>
        <v/>
      </c>
      <c r="G84" s="18">
        <f>G82*G83</f>
        <v/>
      </c>
      <c r="H84" s="18">
        <f>H82*H83</f>
        <v/>
      </c>
    </row>
    <row r="85">
      <c r="A85" s="5" t="inlineStr">
        <is>
          <t>Shippers (mid-market): ARR at year end</t>
        </is>
      </c>
      <c r="B85" s="18">
        <f>B81*B83</f>
        <v/>
      </c>
      <c r="C85" s="18">
        <f>C81*C83</f>
        <v/>
      </c>
      <c r="D85" s="18">
        <f>D81*D83</f>
        <v/>
      </c>
      <c r="E85" s="18">
        <f>E81*E83</f>
        <v/>
      </c>
      <c r="F85" s="18">
        <f>F81*F83</f>
        <v/>
      </c>
      <c r="G85" s="18">
        <f>G81*G83</f>
        <v/>
      </c>
      <c r="H85" s="18">
        <f>H81*H83</f>
        <v/>
      </c>
    </row>
    <row r="86">
      <c r="A86" s="5" t="inlineStr">
        <is>
          <t>SME importers: new accounts</t>
        </is>
      </c>
      <c r="B86" s="14">
        <f>Assumptions!$B$53-ROUND(Assumptions!$B$53*Assumptions!$B$39,0)</f>
        <v/>
      </c>
      <c r="C86" s="14">
        <f>Assumptions!$C$53-ROUND(Assumptions!$C$53*Assumptions!$B$39,0)</f>
        <v/>
      </c>
      <c r="D86" s="14">
        <f>Assumptions!$D$53-ROUND(Assumptions!$D$53*Assumptions!$B$39,0)</f>
        <v/>
      </c>
      <c r="E86" s="14">
        <f>Assumptions!$E$53-ROUND(Assumptions!$E$53*Assumptions!$B$39,0)</f>
        <v/>
      </c>
      <c r="F86" s="14">
        <f>Assumptions!$F$53-ROUND(Assumptions!$F$53*Assumptions!$B$39,0)</f>
        <v/>
      </c>
      <c r="G86" s="14">
        <f>Assumptions!$G$53-ROUND(Assumptions!$G$53*Assumptions!$B$39,0)</f>
        <v/>
      </c>
      <c r="H86" s="14">
        <f>Assumptions!$H$53-ROUND(Assumptions!$H$53*Assumptions!$B$39,0)</f>
        <v/>
      </c>
    </row>
    <row r="87">
      <c r="A87" s="5" t="inlineStr">
        <is>
          <t>SME importers: accounts lost = ROUND(prior year-end x churn)</t>
        </is>
      </c>
      <c r="B87" s="14">
        <f>0</f>
        <v/>
      </c>
      <c r="C87" s="14">
        <f>ROUND(B88*Assumptions!$C$45,0)</f>
        <v/>
      </c>
      <c r="D87" s="14">
        <f>ROUND(C88*Assumptions!$C$45,0)</f>
        <v/>
      </c>
      <c r="E87" s="14">
        <f>ROUND(D88*Assumptions!$C$45,0)</f>
        <v/>
      </c>
      <c r="F87" s="14">
        <f>ROUND(E88*Assumptions!$C$45,0)</f>
        <v/>
      </c>
      <c r="G87" s="14">
        <f>ROUND(F88*Assumptions!$C$45,0)</f>
        <v/>
      </c>
      <c r="H87" s="14">
        <f>ROUND(G88*Assumptions!$C$45,0)</f>
        <v/>
      </c>
    </row>
    <row r="88">
      <c r="A88" s="17" t="inlineStr">
        <is>
          <t>SME importers: accounts at year end</t>
        </is>
      </c>
      <c r="B88" s="14">
        <f>B86</f>
        <v/>
      </c>
      <c r="C88" s="14">
        <f>B88-C87+C86</f>
        <v/>
      </c>
      <c r="D88" s="14">
        <f>C88-D87+D86</f>
        <v/>
      </c>
      <c r="E88" s="14">
        <f>D88-E87+E86</f>
        <v/>
      </c>
      <c r="F88" s="14">
        <f>E88-F87+F86</f>
        <v/>
      </c>
      <c r="G88" s="14">
        <f>F88-G87+G86</f>
        <v/>
      </c>
      <c r="H88" s="14">
        <f>G88-H87+H86</f>
        <v/>
      </c>
    </row>
    <row r="89">
      <c r="A89" s="5" t="inlineStr">
        <is>
          <t>SME importers: average accounts</t>
        </is>
      </c>
      <c r="B89" s="16">
        <f>B88/2</f>
        <v/>
      </c>
      <c r="C89" s="16">
        <f>(B88+C88)/2</f>
        <v/>
      </c>
      <c r="D89" s="16">
        <f>(C88+D88)/2</f>
        <v/>
      </c>
      <c r="E89" s="16">
        <f>(D88+E88)/2</f>
        <v/>
      </c>
      <c r="F89" s="16">
        <f>(E88+F88)/2</f>
        <v/>
      </c>
      <c r="G89" s="16">
        <f>(F88+G88)/2</f>
        <v/>
      </c>
      <c r="H89" s="16">
        <f>(G88+H88)/2</f>
        <v/>
      </c>
    </row>
    <row r="90">
      <c r="A90" s="5" t="inlineStr">
        <is>
          <t>SME importers: revenue per account ($K)</t>
        </is>
      </c>
      <c r="B90" s="16">
        <f>(Assumptions!$B$35+Assumptions!$B$36*Assumptions!$B$37)*Assumptions!$C$46</f>
        <v/>
      </c>
      <c r="C90" s="16">
        <f>(Assumptions!$C$35+Assumptions!$C$36*Assumptions!$C$37)*Assumptions!$C$46</f>
        <v/>
      </c>
      <c r="D90" s="16">
        <f>(Assumptions!$D$35+Assumptions!$D$36*Assumptions!$D$37)*Assumptions!$C$46</f>
        <v/>
      </c>
      <c r="E90" s="16">
        <f>(Assumptions!$E$35+Assumptions!$E$36*Assumptions!$E$37)*Assumptions!$C$46</f>
        <v/>
      </c>
      <c r="F90" s="16">
        <f>(Assumptions!$F$35+Assumptions!$F$36*Assumptions!$F$37)*Assumptions!$C$46</f>
        <v/>
      </c>
      <c r="G90" s="16">
        <f>(Assumptions!$G$35+Assumptions!$G$36*Assumptions!$G$37)*Assumptions!$C$46</f>
        <v/>
      </c>
      <c r="H90" s="16">
        <f>(Assumptions!$H$35+Assumptions!$H$36*Assumptions!$H$37)*Assumptions!$C$46</f>
        <v/>
      </c>
    </row>
    <row r="91">
      <c r="A91" s="5" t="inlineStr">
        <is>
          <t>SME importers: revenue</t>
        </is>
      </c>
      <c r="B91" s="18">
        <f>B89*B90</f>
        <v/>
      </c>
      <c r="C91" s="18">
        <f>C89*C90</f>
        <v/>
      </c>
      <c r="D91" s="18">
        <f>D89*D90</f>
        <v/>
      </c>
      <c r="E91" s="18">
        <f>E89*E90</f>
        <v/>
      </c>
      <c r="F91" s="18">
        <f>F89*F90</f>
        <v/>
      </c>
      <c r="G91" s="18">
        <f>G89*G90</f>
        <v/>
      </c>
      <c r="H91" s="18">
        <f>H89*H90</f>
        <v/>
      </c>
    </row>
    <row r="92">
      <c r="A92" s="5" t="inlineStr">
        <is>
          <t>SME importers: ARR at year end</t>
        </is>
      </c>
      <c r="B92" s="18">
        <f>B88*B90</f>
        <v/>
      </c>
      <c r="C92" s="18">
        <f>C88*C90</f>
        <v/>
      </c>
      <c r="D92" s="18">
        <f>D88*D90</f>
        <v/>
      </c>
      <c r="E92" s="18">
        <f>E88*E90</f>
        <v/>
      </c>
      <c r="F92" s="18">
        <f>F88*F90</f>
        <v/>
      </c>
      <c r="G92" s="18">
        <f>G88*G90</f>
        <v/>
      </c>
      <c r="H92" s="18">
        <f>H88*H90</f>
        <v/>
      </c>
    </row>
    <row r="93">
      <c r="A93" s="5" t="inlineStr">
        <is>
          <t>Carriers (partner-led): new accounts</t>
        </is>
      </c>
      <c r="B93" s="14">
        <f>Assumptions!$B$57</f>
        <v/>
      </c>
      <c r="C93" s="14">
        <f>Assumptions!$C$57</f>
        <v/>
      </c>
      <c r="D93" s="14">
        <f>Assumptions!$D$57</f>
        <v/>
      </c>
      <c r="E93" s="14">
        <f>Assumptions!$E$57</f>
        <v/>
      </c>
      <c r="F93" s="14">
        <f>Assumptions!$F$57</f>
        <v/>
      </c>
      <c r="G93" s="14">
        <f>Assumptions!$G$57</f>
        <v/>
      </c>
      <c r="H93" s="14">
        <f>Assumptions!$H$57</f>
        <v/>
      </c>
    </row>
    <row r="94">
      <c r="A94" s="5" t="inlineStr">
        <is>
          <t>Carriers (partner-led): accounts lost = ROUND(prior year-end x churn)</t>
        </is>
      </c>
      <c r="B94" s="14">
        <f>0</f>
        <v/>
      </c>
      <c r="C94" s="14">
        <f>ROUND(B95*Assumptions!$C$45,0)</f>
        <v/>
      </c>
      <c r="D94" s="14">
        <f>ROUND(C95*Assumptions!$C$45,0)</f>
        <v/>
      </c>
      <c r="E94" s="14">
        <f>ROUND(D95*Assumptions!$C$45,0)</f>
        <v/>
      </c>
      <c r="F94" s="14">
        <f>ROUND(E95*Assumptions!$C$45,0)</f>
        <v/>
      </c>
      <c r="G94" s="14">
        <f>ROUND(F95*Assumptions!$C$45,0)</f>
        <v/>
      </c>
      <c r="H94" s="14">
        <f>ROUND(G95*Assumptions!$C$45,0)</f>
        <v/>
      </c>
    </row>
    <row r="95">
      <c r="A95" s="17" t="inlineStr">
        <is>
          <t>Carriers (partner-led): accounts at year end</t>
        </is>
      </c>
      <c r="B95" s="14">
        <f>B93</f>
        <v/>
      </c>
      <c r="C95" s="14">
        <f>B95-C94+C93</f>
        <v/>
      </c>
      <c r="D95" s="14">
        <f>C95-D94+D93</f>
        <v/>
      </c>
      <c r="E95" s="14">
        <f>D95-E94+E93</f>
        <v/>
      </c>
      <c r="F95" s="14">
        <f>E95-F94+F93</f>
        <v/>
      </c>
      <c r="G95" s="14">
        <f>F95-G94+G93</f>
        <v/>
      </c>
      <c r="H95" s="14">
        <f>G95-H94+H93</f>
        <v/>
      </c>
    </row>
    <row r="96">
      <c r="A96" s="5" t="inlineStr">
        <is>
          <t>Carriers (partner-led): average accounts</t>
        </is>
      </c>
      <c r="B96" s="16">
        <f>B95/2</f>
        <v/>
      </c>
      <c r="C96" s="16">
        <f>(B95+C95)/2</f>
        <v/>
      </c>
      <c r="D96" s="16">
        <f>(C95+D95)/2</f>
        <v/>
      </c>
      <c r="E96" s="16">
        <f>(D95+E95)/2</f>
        <v/>
      </c>
      <c r="F96" s="16">
        <f>(E95+F95)/2</f>
        <v/>
      </c>
      <c r="G96" s="16">
        <f>(F95+G95)/2</f>
        <v/>
      </c>
      <c r="H96" s="16">
        <f>(G95+H95)/2</f>
        <v/>
      </c>
    </row>
    <row r="97">
      <c r="A97" s="5" t="inlineStr">
        <is>
          <t>Carriers (partner-led): revenue per account ($K)</t>
        </is>
      </c>
      <c r="B97" s="16">
        <f>Assumptions!$B$41*Assumptions!$B$42*Assumptions!$C$46</f>
        <v/>
      </c>
      <c r="C97" s="16">
        <f>Assumptions!$C$41*Assumptions!$B$42*Assumptions!$C$46</f>
        <v/>
      </c>
      <c r="D97" s="16">
        <f>Assumptions!$D$41*Assumptions!$B$42*Assumptions!$C$46</f>
        <v/>
      </c>
      <c r="E97" s="16">
        <f>Assumptions!$E$41*Assumptions!$B$42*Assumptions!$C$46</f>
        <v/>
      </c>
      <c r="F97" s="16">
        <f>Assumptions!$F$41*Assumptions!$B$42*Assumptions!$C$46</f>
        <v/>
      </c>
      <c r="G97" s="16">
        <f>Assumptions!$G$41*Assumptions!$B$42*Assumptions!$C$46</f>
        <v/>
      </c>
      <c r="H97" s="16">
        <f>Assumptions!$H$41*Assumptions!$B$42*Assumptions!$C$46</f>
        <v/>
      </c>
    </row>
    <row r="98">
      <c r="A98" s="5" t="inlineStr">
        <is>
          <t>Carriers (partner-led): revenue</t>
        </is>
      </c>
      <c r="B98" s="18">
        <f>B96*B97</f>
        <v/>
      </c>
      <c r="C98" s="18">
        <f>C96*C97</f>
        <v/>
      </c>
      <c r="D98" s="18">
        <f>D96*D97</f>
        <v/>
      </c>
      <c r="E98" s="18">
        <f>E96*E97</f>
        <v/>
      </c>
      <c r="F98" s="18">
        <f>F96*F97</f>
        <v/>
      </c>
      <c r="G98" s="18">
        <f>G96*G97</f>
        <v/>
      </c>
      <c r="H98" s="18">
        <f>H96*H97</f>
        <v/>
      </c>
    </row>
    <row r="99">
      <c r="A99" s="5" t="inlineStr">
        <is>
          <t>Carriers (partner-led): ARR at year end</t>
        </is>
      </c>
      <c r="B99" s="18">
        <f>B95*B97</f>
        <v/>
      </c>
      <c r="C99" s="18">
        <f>C95*C97</f>
        <v/>
      </c>
      <c r="D99" s="18">
        <f>D95*D97</f>
        <v/>
      </c>
      <c r="E99" s="18">
        <f>E95*E97</f>
        <v/>
      </c>
      <c r="F99" s="18">
        <f>F95*F97</f>
        <v/>
      </c>
      <c r="G99" s="18">
        <f>G95*G97</f>
        <v/>
      </c>
      <c r="H99" s="18">
        <f>H95*H97</f>
        <v/>
      </c>
    </row>
    <row r="100">
      <c r="A100" s="17" t="inlineStr">
        <is>
          <t>All segments: new accounts won</t>
        </is>
      </c>
      <c r="B100" s="14">
        <f>B79+B86+B93</f>
        <v/>
      </c>
      <c r="C100" s="14">
        <f>C79+C86+C93</f>
        <v/>
      </c>
      <c r="D100" s="14">
        <f>D79+D86+D93</f>
        <v/>
      </c>
      <c r="E100" s="14">
        <f>E79+E86+E93</f>
        <v/>
      </c>
      <c r="F100" s="14">
        <f>F79+F86+F93</f>
        <v/>
      </c>
      <c r="G100" s="14">
        <f>G79+G86+G93</f>
        <v/>
      </c>
      <c r="H100" s="14">
        <f>H79+H86+H93</f>
        <v/>
      </c>
    </row>
    <row r="101">
      <c r="A101" s="5" t="inlineStr">
        <is>
          <t>All segments: accounts lost</t>
        </is>
      </c>
      <c r="B101" s="14">
        <f>B80+B87+B94</f>
        <v/>
      </c>
      <c r="C101" s="14">
        <f>C80+C87+C94</f>
        <v/>
      </c>
      <c r="D101" s="14">
        <f>D80+D87+D94</f>
        <v/>
      </c>
      <c r="E101" s="14">
        <f>E80+E87+E94</f>
        <v/>
      </c>
      <c r="F101" s="14">
        <f>F80+F87+F94</f>
        <v/>
      </c>
      <c r="G101" s="14">
        <f>G80+G87+G94</f>
        <v/>
      </c>
      <c r="H101" s="14">
        <f>H80+H87+H94</f>
        <v/>
      </c>
    </row>
    <row r="102">
      <c r="A102" s="17" t="inlineStr">
        <is>
          <t>All segments: paying accounts at year end</t>
        </is>
      </c>
      <c r="B102" s="14">
        <f>B81+B88+B95</f>
        <v/>
      </c>
      <c r="C102" s="14">
        <f>C81+C88+C95</f>
        <v/>
      </c>
      <c r="D102" s="14">
        <f>D81+D88+D95</f>
        <v/>
      </c>
      <c r="E102" s="14">
        <f>E81+E88+E95</f>
        <v/>
      </c>
      <c r="F102" s="14">
        <f>F81+F88+F95</f>
        <v/>
      </c>
      <c r="G102" s="14">
        <f>G81+G88+G95</f>
        <v/>
      </c>
      <c r="H102" s="14">
        <f>H81+H88+H95</f>
        <v/>
      </c>
    </row>
    <row r="103">
      <c r="A103" s="5" t="inlineStr">
        <is>
          <t>All segments: average paying accounts</t>
        </is>
      </c>
      <c r="B103" s="16">
        <f>B82+B89+B96</f>
        <v/>
      </c>
      <c r="C103" s="16">
        <f>C82+C89+C96</f>
        <v/>
      </c>
      <c r="D103" s="16">
        <f>D82+D89+D96</f>
        <v/>
      </c>
      <c r="E103" s="16">
        <f>E82+E89+E96</f>
        <v/>
      </c>
      <c r="F103" s="16">
        <f>F82+F89+F96</f>
        <v/>
      </c>
      <c r="G103" s="16">
        <f>G82+G89+G96</f>
        <v/>
      </c>
      <c r="H103" s="16">
        <f>H82+H89+H96</f>
        <v/>
      </c>
    </row>
    <row r="104">
      <c r="A104" s="17" t="inlineStr">
        <is>
          <t>Total revenue</t>
        </is>
      </c>
      <c r="B104" s="18">
        <f>B84+B91+B98</f>
        <v/>
      </c>
      <c r="C104" s="18">
        <f>C84+C91+C98</f>
        <v/>
      </c>
      <c r="D104" s="18">
        <f>D84+D91+D98</f>
        <v/>
      </c>
      <c r="E104" s="18">
        <f>E84+E91+E98</f>
        <v/>
      </c>
      <c r="F104" s="18">
        <f>F84+F91+F98</f>
        <v/>
      </c>
      <c r="G104" s="18">
        <f>G84+G91+G98</f>
        <v/>
      </c>
      <c r="H104" s="18">
        <f>H84+H91+H98</f>
        <v/>
      </c>
    </row>
    <row r="105">
      <c r="A105" s="17" t="inlineStr">
        <is>
          <t>ARR at year end</t>
        </is>
      </c>
      <c r="B105" s="18">
        <f>B85+B92+B99</f>
        <v/>
      </c>
      <c r="C105" s="18">
        <f>C85+C92+C99</f>
        <v/>
      </c>
      <c r="D105" s="18">
        <f>D85+D92+D99</f>
        <v/>
      </c>
      <c r="E105" s="18">
        <f>E85+E92+E99</f>
        <v/>
      </c>
      <c r="F105" s="18">
        <f>F85+F92+F99</f>
        <v/>
      </c>
      <c r="G105" s="18">
        <f>G85+G92+G99</f>
        <v/>
      </c>
      <c r="H105" s="18">
        <f>H85+H92+H99</f>
        <v/>
      </c>
    </row>
    <row r="106">
      <c r="A106" s="17" t="inlineStr">
        <is>
          <t>Blended revenue per account = ARR / accounts ($K)</t>
        </is>
      </c>
      <c r="B106" s="16">
        <f>IF(B102=0,0,B105/B102)</f>
        <v/>
      </c>
      <c r="C106" s="16">
        <f>IF(C102=0,0,C105/C102)</f>
        <v/>
      </c>
      <c r="D106" s="16">
        <f>IF(D102=0,0,D105/D102)</f>
        <v/>
      </c>
      <c r="E106" s="16">
        <f>IF(E102=0,0,E105/E102)</f>
        <v/>
      </c>
      <c r="F106" s="16">
        <f>IF(F102=0,0,F105/F102)</f>
        <v/>
      </c>
      <c r="G106" s="16">
        <f>IF(G102=0,0,G105/G102)</f>
        <v/>
      </c>
      <c r="H106" s="16">
        <f>IF(H102=0,0,H105/H102)</f>
        <v/>
      </c>
    </row>
    <row r="107">
      <c r="A107" s="5" t="inlineStr">
        <is>
          <t xml:space="preserve">  Founder / CEO</t>
        </is>
      </c>
      <c r="B107" s="14">
        <f>Assumptions!$B$61</f>
        <v/>
      </c>
      <c r="C107" s="14">
        <f>IF(AND(Assumptions!$C$48&gt;0,Assumptions!$C$6&gt;=Assumptions!$C$48,Assumptions!$C$6&lt;Assumptions!$C$48+Assumptions!$C$49),B107,Assumptions!$C$61)</f>
        <v/>
      </c>
      <c r="D107" s="14">
        <f>IF(AND(Assumptions!$C$48&gt;0,Assumptions!$D$6&gt;=Assumptions!$C$48,Assumptions!$D$6&lt;Assumptions!$C$48+Assumptions!$C$49),C107,Assumptions!$D$61)</f>
        <v/>
      </c>
      <c r="E107" s="14">
        <f>IF(AND(Assumptions!$C$48&gt;0,Assumptions!$E$6&gt;=Assumptions!$C$48,Assumptions!$E$6&lt;Assumptions!$C$48+Assumptions!$C$49),D107,Assumptions!$E$61)</f>
        <v/>
      </c>
      <c r="F107" s="14">
        <f>IF(AND(Assumptions!$C$48&gt;0,Assumptions!$F$6&gt;=Assumptions!$C$48,Assumptions!$F$6&lt;Assumptions!$C$48+Assumptions!$C$49),E107,Assumptions!$F$61)</f>
        <v/>
      </c>
      <c r="G107" s="14">
        <f>IF(AND(Assumptions!$C$48&gt;0,Assumptions!$G$6&gt;=Assumptions!$C$48,Assumptions!$G$6&lt;Assumptions!$C$48+Assumptions!$C$49),F107,Assumptions!$G$61)</f>
        <v/>
      </c>
      <c r="H107" s="14">
        <f>IF(AND(Assumptions!$C$48&gt;0,Assumptions!$H$6&gt;=Assumptions!$C$48,Assumptions!$H$6&lt;Assumptions!$C$48+Assumptions!$C$49),G107,Assumptions!$H$61)</f>
        <v/>
      </c>
    </row>
    <row r="108">
      <c r="A108" s="5" t="inlineStr">
        <is>
          <t xml:space="preserve">  Software engineers</t>
        </is>
      </c>
      <c r="B108" s="14">
        <f>ROUND(Assumptions!$B$65*Assumptions!$C$47,0)</f>
        <v/>
      </c>
      <c r="C108" s="14">
        <f>IF(AND(Assumptions!$C$48&gt;0,Assumptions!$C$6&gt;=Assumptions!$C$48,Assumptions!$C$6&lt;Assumptions!$C$48+Assumptions!$C$49),B108,ROUND(Assumptions!$C$65*Assumptions!$C$47,0))</f>
        <v/>
      </c>
      <c r="D108" s="14">
        <f>IF(AND(Assumptions!$C$48&gt;0,Assumptions!$D$6&gt;=Assumptions!$C$48,Assumptions!$D$6&lt;Assumptions!$C$48+Assumptions!$C$49),C108,ROUND(Assumptions!$D$65*Assumptions!$C$47,0))</f>
        <v/>
      </c>
      <c r="E108" s="14">
        <f>IF(AND(Assumptions!$C$48&gt;0,Assumptions!$E$6&gt;=Assumptions!$C$48,Assumptions!$E$6&lt;Assumptions!$C$48+Assumptions!$C$49),D108,ROUND(Assumptions!$E$65*Assumptions!$C$47,0))</f>
        <v/>
      </c>
      <c r="F108" s="14">
        <f>IF(AND(Assumptions!$C$48&gt;0,Assumptions!$F$6&gt;=Assumptions!$C$48,Assumptions!$F$6&lt;Assumptions!$C$48+Assumptions!$C$49),E108,ROUND(Assumptions!$F$65*Assumptions!$C$47,0))</f>
        <v/>
      </c>
      <c r="G108" s="14">
        <f>IF(AND(Assumptions!$C$48&gt;0,Assumptions!$G$6&gt;=Assumptions!$C$48,Assumptions!$G$6&lt;Assumptions!$C$48+Assumptions!$C$49),F108,ROUND(Assumptions!$G$65*Assumptions!$C$47,0))</f>
        <v/>
      </c>
      <c r="H108" s="14">
        <f>IF(AND(Assumptions!$C$48&gt;0,Assumptions!$H$6&gt;=Assumptions!$C$48,Assumptions!$H$6&lt;Assumptions!$C$48+Assumptions!$C$49),G108,ROUND(Assumptions!$H$65*Assumptions!$C$47,0))</f>
        <v/>
      </c>
    </row>
    <row r="109">
      <c r="A109" s="5" t="inlineStr">
        <is>
          <t xml:space="preserve">  ML / data engineers</t>
        </is>
      </c>
      <c r="B109" s="14">
        <f>ROUND(Assumptions!$B$69*Assumptions!$C$47,0)</f>
        <v/>
      </c>
      <c r="C109" s="14">
        <f>IF(AND(Assumptions!$C$48&gt;0,Assumptions!$C$6&gt;=Assumptions!$C$48,Assumptions!$C$6&lt;Assumptions!$C$48+Assumptions!$C$49),B109,ROUND(Assumptions!$C$69*Assumptions!$C$47,0))</f>
        <v/>
      </c>
      <c r="D109" s="14">
        <f>IF(AND(Assumptions!$C$48&gt;0,Assumptions!$D$6&gt;=Assumptions!$C$48,Assumptions!$D$6&lt;Assumptions!$C$48+Assumptions!$C$49),C109,ROUND(Assumptions!$D$69*Assumptions!$C$47,0))</f>
        <v/>
      </c>
      <c r="E109" s="14">
        <f>IF(AND(Assumptions!$C$48&gt;0,Assumptions!$E$6&gt;=Assumptions!$C$48,Assumptions!$E$6&lt;Assumptions!$C$48+Assumptions!$C$49),D109,ROUND(Assumptions!$E$69*Assumptions!$C$47,0))</f>
        <v/>
      </c>
      <c r="F109" s="14">
        <f>IF(AND(Assumptions!$C$48&gt;0,Assumptions!$F$6&gt;=Assumptions!$C$48,Assumptions!$F$6&lt;Assumptions!$C$48+Assumptions!$C$49),E109,ROUND(Assumptions!$F$69*Assumptions!$C$47,0))</f>
        <v/>
      </c>
      <c r="G109" s="14">
        <f>IF(AND(Assumptions!$C$48&gt;0,Assumptions!$G$6&gt;=Assumptions!$C$48,Assumptions!$G$6&lt;Assumptions!$C$48+Assumptions!$C$49),F109,ROUND(Assumptions!$G$69*Assumptions!$C$47,0))</f>
        <v/>
      </c>
      <c r="H109" s="14">
        <f>IF(AND(Assumptions!$C$48&gt;0,Assumptions!$H$6&gt;=Assumptions!$C$48,Assumptions!$H$6&lt;Assumptions!$C$48+Assumptions!$C$49),G109,ROUND(Assumptions!$H$69*Assumptions!$C$47,0))</f>
        <v/>
      </c>
    </row>
    <row r="110">
      <c r="A110" s="5" t="inlineStr">
        <is>
          <t xml:space="preserve">  Security engineer</t>
        </is>
      </c>
      <c r="B110" s="14">
        <f>ROUND(Assumptions!$B$73*Assumptions!$C$47,0)</f>
        <v/>
      </c>
      <c r="C110" s="14">
        <f>IF(AND(Assumptions!$C$48&gt;0,Assumptions!$C$6&gt;=Assumptions!$C$48,Assumptions!$C$6&lt;Assumptions!$C$48+Assumptions!$C$49),B110,ROUND(Assumptions!$C$73*Assumptions!$C$47,0))</f>
        <v/>
      </c>
      <c r="D110" s="14">
        <f>IF(AND(Assumptions!$C$48&gt;0,Assumptions!$D$6&gt;=Assumptions!$C$48,Assumptions!$D$6&lt;Assumptions!$C$48+Assumptions!$C$49),C110,ROUND(Assumptions!$D$73*Assumptions!$C$47,0))</f>
        <v/>
      </c>
      <c r="E110" s="14">
        <f>IF(AND(Assumptions!$C$48&gt;0,Assumptions!$E$6&gt;=Assumptions!$C$48,Assumptions!$E$6&lt;Assumptions!$C$48+Assumptions!$C$49),D110,ROUND(Assumptions!$E$73*Assumptions!$C$47,0))</f>
        <v/>
      </c>
      <c r="F110" s="14">
        <f>IF(AND(Assumptions!$C$48&gt;0,Assumptions!$F$6&gt;=Assumptions!$C$48,Assumptions!$F$6&lt;Assumptions!$C$48+Assumptions!$C$49),E110,ROUND(Assumptions!$F$73*Assumptions!$C$47,0))</f>
        <v/>
      </c>
      <c r="G110" s="14">
        <f>IF(AND(Assumptions!$C$48&gt;0,Assumptions!$G$6&gt;=Assumptions!$C$48,Assumptions!$G$6&lt;Assumptions!$C$48+Assumptions!$C$49),F110,ROUND(Assumptions!$G$73*Assumptions!$C$47,0))</f>
        <v/>
      </c>
      <c r="H110" s="14">
        <f>IF(AND(Assumptions!$C$48&gt;0,Assumptions!$H$6&gt;=Assumptions!$C$48,Assumptions!$H$6&lt;Assumptions!$C$48+Assumptions!$C$49),G110,ROUND(Assumptions!$H$73*Assumptions!$C$47,0))</f>
        <v/>
      </c>
    </row>
    <row r="111">
      <c r="A111" s="5" t="inlineStr">
        <is>
          <t xml:space="preserve">  Account executives (US)</t>
        </is>
      </c>
      <c r="B111" s="14">
        <f>ROUND(Assumptions!$B$77*Assumptions!$C$47,0)</f>
        <v/>
      </c>
      <c r="C111" s="14">
        <f>IF(AND(Assumptions!$C$48&gt;0,Assumptions!$C$6&gt;=Assumptions!$C$48,Assumptions!$C$6&lt;Assumptions!$C$48+Assumptions!$C$49),B111,ROUND(Assumptions!$C$77*Assumptions!$C$47,0))</f>
        <v/>
      </c>
      <c r="D111" s="14">
        <f>IF(AND(Assumptions!$C$48&gt;0,Assumptions!$D$6&gt;=Assumptions!$C$48,Assumptions!$D$6&lt;Assumptions!$C$48+Assumptions!$C$49),C111,ROUND(Assumptions!$D$77*Assumptions!$C$47,0))</f>
        <v/>
      </c>
      <c r="E111" s="14">
        <f>IF(AND(Assumptions!$C$48&gt;0,Assumptions!$E$6&gt;=Assumptions!$C$48,Assumptions!$E$6&lt;Assumptions!$C$48+Assumptions!$C$49),D111,ROUND(Assumptions!$E$77*Assumptions!$C$47,0))</f>
        <v/>
      </c>
      <c r="F111" s="14">
        <f>IF(AND(Assumptions!$C$48&gt;0,Assumptions!$F$6&gt;=Assumptions!$C$48,Assumptions!$F$6&lt;Assumptions!$C$48+Assumptions!$C$49),E111,ROUND(Assumptions!$F$77*Assumptions!$C$47,0))</f>
        <v/>
      </c>
      <c r="G111" s="14">
        <f>IF(AND(Assumptions!$C$48&gt;0,Assumptions!$G$6&gt;=Assumptions!$C$48,Assumptions!$G$6&lt;Assumptions!$C$48+Assumptions!$C$49),F111,ROUND(Assumptions!$G$77*Assumptions!$C$47,0))</f>
        <v/>
      </c>
      <c r="H111" s="14">
        <f>IF(AND(Assumptions!$C$48&gt;0,Assumptions!$H$6&gt;=Assumptions!$C$48,Assumptions!$H$6&lt;Assumptions!$C$48+Assumptions!$C$49),G111,ROUND(Assumptions!$H$77*Assumptions!$C$47,0))</f>
        <v/>
      </c>
    </row>
    <row r="112">
      <c r="A112" s="5" t="inlineStr">
        <is>
          <t xml:space="preserve">  Sales engineer (US)</t>
        </is>
      </c>
      <c r="B112" s="14">
        <f>ROUND(Assumptions!$B$81*Assumptions!$C$47,0)</f>
        <v/>
      </c>
      <c r="C112" s="14">
        <f>IF(AND(Assumptions!$C$48&gt;0,Assumptions!$C$6&gt;=Assumptions!$C$48,Assumptions!$C$6&lt;Assumptions!$C$48+Assumptions!$C$49),B112,ROUND(Assumptions!$C$81*Assumptions!$C$47,0))</f>
        <v/>
      </c>
      <c r="D112" s="14">
        <f>IF(AND(Assumptions!$C$48&gt;0,Assumptions!$D$6&gt;=Assumptions!$C$48,Assumptions!$D$6&lt;Assumptions!$C$48+Assumptions!$C$49),C112,ROUND(Assumptions!$D$81*Assumptions!$C$47,0))</f>
        <v/>
      </c>
      <c r="E112" s="14">
        <f>IF(AND(Assumptions!$C$48&gt;0,Assumptions!$E$6&gt;=Assumptions!$C$48,Assumptions!$E$6&lt;Assumptions!$C$48+Assumptions!$C$49),D112,ROUND(Assumptions!$E$81*Assumptions!$C$47,0))</f>
        <v/>
      </c>
      <c r="F112" s="14">
        <f>IF(AND(Assumptions!$C$48&gt;0,Assumptions!$F$6&gt;=Assumptions!$C$48,Assumptions!$F$6&lt;Assumptions!$C$48+Assumptions!$C$49),E112,ROUND(Assumptions!$F$81*Assumptions!$C$47,0))</f>
        <v/>
      </c>
      <c r="G112" s="14">
        <f>IF(AND(Assumptions!$C$48&gt;0,Assumptions!$G$6&gt;=Assumptions!$C$48,Assumptions!$G$6&lt;Assumptions!$C$48+Assumptions!$C$49),F112,ROUND(Assumptions!$G$81*Assumptions!$C$47,0))</f>
        <v/>
      </c>
      <c r="H112" s="14">
        <f>IF(AND(Assumptions!$C$48&gt;0,Assumptions!$H$6&gt;=Assumptions!$C$48,Assumptions!$H$6&lt;Assumptions!$C$48+Assumptions!$C$49),G112,ROUND(Assumptions!$H$81*Assumptions!$C$47,0))</f>
        <v/>
      </c>
    </row>
    <row r="113">
      <c r="A113" s="5" t="inlineStr">
        <is>
          <t xml:space="preserve">  Claims analysts / customer success (US)</t>
        </is>
      </c>
      <c r="B113" s="14">
        <f>ROUND(Assumptions!$B$85*Assumptions!$C$47,0)</f>
        <v/>
      </c>
      <c r="C113" s="14">
        <f>IF(AND(Assumptions!$C$48&gt;0,Assumptions!$C$6&gt;=Assumptions!$C$48,Assumptions!$C$6&lt;Assumptions!$C$48+Assumptions!$C$49),B113,ROUND(Assumptions!$C$85*Assumptions!$C$47,0))</f>
        <v/>
      </c>
      <c r="D113" s="14">
        <f>IF(AND(Assumptions!$C$48&gt;0,Assumptions!$D$6&gt;=Assumptions!$C$48,Assumptions!$D$6&lt;Assumptions!$C$48+Assumptions!$C$49),C113,ROUND(Assumptions!$D$85*Assumptions!$C$47,0))</f>
        <v/>
      </c>
      <c r="E113" s="14">
        <f>IF(AND(Assumptions!$C$48&gt;0,Assumptions!$E$6&gt;=Assumptions!$C$48,Assumptions!$E$6&lt;Assumptions!$C$48+Assumptions!$C$49),D113,ROUND(Assumptions!$E$85*Assumptions!$C$47,0))</f>
        <v/>
      </c>
      <c r="F113" s="14">
        <f>IF(AND(Assumptions!$C$48&gt;0,Assumptions!$F$6&gt;=Assumptions!$C$48,Assumptions!$F$6&lt;Assumptions!$C$48+Assumptions!$C$49),E113,ROUND(Assumptions!$F$85*Assumptions!$C$47,0))</f>
        <v/>
      </c>
      <c r="G113" s="14">
        <f>IF(AND(Assumptions!$C$48&gt;0,Assumptions!$G$6&gt;=Assumptions!$C$48,Assumptions!$G$6&lt;Assumptions!$C$48+Assumptions!$C$49),F113,ROUND(Assumptions!$G$85*Assumptions!$C$47,0))</f>
        <v/>
      </c>
      <c r="H113" s="14">
        <f>IF(AND(Assumptions!$C$48&gt;0,Assumptions!$H$6&gt;=Assumptions!$C$48,Assumptions!$H$6&lt;Assumptions!$C$48+Assumptions!$C$49),G113,ROUND(Assumptions!$H$85*Assumptions!$C$47,0))</f>
        <v/>
      </c>
    </row>
    <row r="114">
      <c r="A114" s="5" t="inlineStr">
        <is>
          <t xml:space="preserve">  Marketing (US)</t>
        </is>
      </c>
      <c r="B114" s="14">
        <f>ROUND(Assumptions!$B$89*Assumptions!$C$47,0)</f>
        <v/>
      </c>
      <c r="C114" s="14">
        <f>IF(AND(Assumptions!$C$48&gt;0,Assumptions!$C$6&gt;=Assumptions!$C$48,Assumptions!$C$6&lt;Assumptions!$C$48+Assumptions!$C$49),B114,ROUND(Assumptions!$C$89*Assumptions!$C$47,0))</f>
        <v/>
      </c>
      <c r="D114" s="14">
        <f>IF(AND(Assumptions!$C$48&gt;0,Assumptions!$D$6&gt;=Assumptions!$C$48,Assumptions!$D$6&lt;Assumptions!$C$48+Assumptions!$C$49),C114,ROUND(Assumptions!$D$89*Assumptions!$C$47,0))</f>
        <v/>
      </c>
      <c r="E114" s="14">
        <f>IF(AND(Assumptions!$C$48&gt;0,Assumptions!$E$6&gt;=Assumptions!$C$48,Assumptions!$E$6&lt;Assumptions!$C$48+Assumptions!$C$49),D114,ROUND(Assumptions!$E$89*Assumptions!$C$47,0))</f>
        <v/>
      </c>
      <c r="F114" s="14">
        <f>IF(AND(Assumptions!$C$48&gt;0,Assumptions!$F$6&gt;=Assumptions!$C$48,Assumptions!$F$6&lt;Assumptions!$C$48+Assumptions!$C$49),E114,ROUND(Assumptions!$F$89*Assumptions!$C$47,0))</f>
        <v/>
      </c>
      <c r="G114" s="14">
        <f>IF(AND(Assumptions!$C$48&gt;0,Assumptions!$G$6&gt;=Assumptions!$C$48,Assumptions!$G$6&lt;Assumptions!$C$48+Assumptions!$C$49),F114,ROUND(Assumptions!$G$89*Assumptions!$C$47,0))</f>
        <v/>
      </c>
      <c r="H114" s="14">
        <f>IF(AND(Assumptions!$C$48&gt;0,Assumptions!$H$6&gt;=Assumptions!$C$48,Assumptions!$H$6&lt;Assumptions!$C$48+Assumptions!$C$49),G114,ROUND(Assumptions!$H$89*Assumptions!$C$47,0))</f>
        <v/>
      </c>
    </row>
    <row r="115">
      <c r="A115" s="5" t="inlineStr">
        <is>
          <t xml:space="preserve">  Finance, legal operations, people</t>
        </is>
      </c>
      <c r="B115" s="14">
        <f>ROUND(Assumptions!$B$93*Assumptions!$C$47,0)</f>
        <v/>
      </c>
      <c r="C115" s="14">
        <f>IF(AND(Assumptions!$C$48&gt;0,Assumptions!$C$6&gt;=Assumptions!$C$48,Assumptions!$C$6&lt;Assumptions!$C$48+Assumptions!$C$49),B115,ROUND(Assumptions!$C$93*Assumptions!$C$47,0))</f>
        <v/>
      </c>
      <c r="D115" s="14">
        <f>IF(AND(Assumptions!$C$48&gt;0,Assumptions!$D$6&gt;=Assumptions!$C$48,Assumptions!$D$6&lt;Assumptions!$C$48+Assumptions!$C$49),C115,ROUND(Assumptions!$D$93*Assumptions!$C$47,0))</f>
        <v/>
      </c>
      <c r="E115" s="14">
        <f>IF(AND(Assumptions!$C$48&gt;0,Assumptions!$E$6&gt;=Assumptions!$C$48,Assumptions!$E$6&lt;Assumptions!$C$48+Assumptions!$C$49),D115,ROUND(Assumptions!$E$93*Assumptions!$C$47,0))</f>
        <v/>
      </c>
      <c r="F115" s="14">
        <f>IF(AND(Assumptions!$C$48&gt;0,Assumptions!$F$6&gt;=Assumptions!$C$48,Assumptions!$F$6&lt;Assumptions!$C$48+Assumptions!$C$49),E115,ROUND(Assumptions!$F$93*Assumptions!$C$47,0))</f>
        <v/>
      </c>
      <c r="G115" s="14">
        <f>IF(AND(Assumptions!$C$48&gt;0,Assumptions!$G$6&gt;=Assumptions!$C$48,Assumptions!$G$6&lt;Assumptions!$C$48+Assumptions!$C$49),F115,ROUND(Assumptions!$G$93*Assumptions!$C$47,0))</f>
        <v/>
      </c>
      <c r="H115" s="14">
        <f>IF(AND(Assumptions!$C$48&gt;0,Assumptions!$H$6&gt;=Assumptions!$C$48,Assumptions!$H$6&lt;Assumptions!$C$48+Assumptions!$C$49),G115,ROUND(Assumptions!$H$93*Assumptions!$C$47,0))</f>
        <v/>
      </c>
    </row>
    <row r="116">
      <c r="A116" s="17" t="inlineStr">
        <is>
          <t>Headcount at year end</t>
        </is>
      </c>
      <c r="B116" s="14">
        <f>SUM(B107:B115)</f>
        <v/>
      </c>
      <c r="C116" s="14">
        <f>SUM(C107:C115)</f>
        <v/>
      </c>
      <c r="D116" s="14">
        <f>SUM(D107:D115)</f>
        <v/>
      </c>
      <c r="E116" s="14">
        <f>SUM(E107:E115)</f>
        <v/>
      </c>
      <c r="F116" s="14">
        <f>SUM(F107:F115)</f>
        <v/>
      </c>
      <c r="G116" s="14">
        <f>SUM(G107:G115)</f>
        <v/>
      </c>
      <c r="H116" s="14">
        <f>SUM(H107:H115)</f>
        <v/>
      </c>
    </row>
    <row r="117">
      <c r="A117" s="5" t="inlineStr">
        <is>
          <t>Claims operations people cost</t>
        </is>
      </c>
      <c r="B117" s="18">
        <f>(B113*(5-Assumptions!$B$87)/4*Assumptions!$B$88)*(1+Assumptions!$B$8)^(Assumptions!$B$6-1)</f>
        <v/>
      </c>
      <c r="C117" s="18">
        <f>((B113+C113)/2*Assumptions!$B$88)*(1+Assumptions!$B$8)^(Assumptions!$C$6-1)</f>
        <v/>
      </c>
      <c r="D117" s="18">
        <f>((C113+D113)/2*Assumptions!$B$88)*(1+Assumptions!$B$8)^(Assumptions!$D$6-1)</f>
        <v/>
      </c>
      <c r="E117" s="18">
        <f>((D113+E113)/2*Assumptions!$B$88)*(1+Assumptions!$B$8)^(Assumptions!$E$6-1)</f>
        <v/>
      </c>
      <c r="F117" s="18">
        <f>((E113+F113)/2*Assumptions!$B$88)*(1+Assumptions!$B$8)^(Assumptions!$F$6-1)</f>
        <v/>
      </c>
      <c r="G117" s="18">
        <f>((F113+G113)/2*Assumptions!$B$88)*(1+Assumptions!$B$8)^(Assumptions!$G$6-1)</f>
        <v/>
      </c>
      <c r="H117" s="18">
        <f>((G113+H113)/2*Assumptions!$B$88)*(1+Assumptions!$B$8)^(Assumptions!$H$6-1)</f>
        <v/>
      </c>
    </row>
    <row r="118">
      <c r="A118" s="5" t="inlineStr">
        <is>
          <t>Other people cost</t>
        </is>
      </c>
      <c r="B118" s="18">
        <f>(B107*(5-Assumptions!$B$63)/4*Assumptions!$B$64+B108*(5-Assumptions!$B$67)/4*Assumptions!$B$68+B109*(5-Assumptions!$B$71)/4*Assumptions!$B$72+B110*(5-Assumptions!$B$75)/4*Assumptions!$B$76+B111*(5-Assumptions!$B$79)/4*Assumptions!$B$80+B112*(5-Assumptions!$B$83)/4*Assumptions!$B$84+B114*(5-Assumptions!$B$91)/4*Assumptions!$B$92+B115*(5-Assumptions!$B$95)/4*Assumptions!$B$96)*(1+Assumptions!$B$8)^(Assumptions!$B$6-1)</f>
        <v/>
      </c>
      <c r="C118" s="18">
        <f>((B107+C107)/2*Assumptions!$B$64+(B108+C108)/2*Assumptions!$B$68+(B109+C109)/2*Assumptions!$B$72+(B110+C110)/2*Assumptions!$B$76+(B111+C111)/2*Assumptions!$B$80+(B112+C112)/2*Assumptions!$B$84+(B114+C114)/2*Assumptions!$B$92+(B115+C115)/2*Assumptions!$B$96)*(1+Assumptions!$B$8)^(Assumptions!$C$6-1)</f>
        <v/>
      </c>
      <c r="D118" s="18">
        <f>((C107+D107)/2*Assumptions!$B$64+(C108+D108)/2*Assumptions!$B$68+(C109+D109)/2*Assumptions!$B$72+(C110+D110)/2*Assumptions!$B$76+(C111+D111)/2*Assumptions!$B$80+(C112+D112)/2*Assumptions!$B$84+(C114+D114)/2*Assumptions!$B$92+(C115+D115)/2*Assumptions!$B$96)*(1+Assumptions!$B$8)^(Assumptions!$D$6-1)</f>
        <v/>
      </c>
      <c r="E118" s="18">
        <f>((D107+E107)/2*Assumptions!$B$64+(D108+E108)/2*Assumptions!$B$68+(D109+E109)/2*Assumptions!$B$72+(D110+E110)/2*Assumptions!$B$76+(D111+E111)/2*Assumptions!$B$80+(D112+E112)/2*Assumptions!$B$84+(D114+E114)/2*Assumptions!$B$92+(D115+E115)/2*Assumptions!$B$96)*(1+Assumptions!$B$8)^(Assumptions!$E$6-1)</f>
        <v/>
      </c>
      <c r="F118" s="18">
        <f>((E107+F107)/2*Assumptions!$B$64+(E108+F108)/2*Assumptions!$B$68+(E109+F109)/2*Assumptions!$B$72+(E110+F110)/2*Assumptions!$B$76+(E111+F111)/2*Assumptions!$B$80+(E112+F112)/2*Assumptions!$B$84+(E114+F114)/2*Assumptions!$B$92+(E115+F115)/2*Assumptions!$B$96)*(1+Assumptions!$B$8)^(Assumptions!$F$6-1)</f>
        <v/>
      </c>
      <c r="G118" s="18">
        <f>((F107+G107)/2*Assumptions!$B$64+(F108+G108)/2*Assumptions!$B$68+(F109+G109)/2*Assumptions!$B$72+(F110+G110)/2*Assumptions!$B$76+(F111+G111)/2*Assumptions!$B$80+(F112+G112)/2*Assumptions!$B$84+(F114+G114)/2*Assumptions!$B$92+(F115+G115)/2*Assumptions!$B$96)*(1+Assumptions!$B$8)^(Assumptions!$G$6-1)</f>
        <v/>
      </c>
      <c r="H118" s="18">
        <f>((G107+H107)/2*Assumptions!$B$64+(G108+H108)/2*Assumptions!$B$68+(G109+H109)/2*Assumptions!$B$72+(G110+H110)/2*Assumptions!$B$76+(G111+H111)/2*Assumptions!$B$80+(G112+H112)/2*Assumptions!$B$84+(G114+H114)/2*Assumptions!$B$92+(G115+H115)/2*Assumptions!$B$96)*(1+Assumptions!$B$8)^(Assumptions!$H$6-1)</f>
        <v/>
      </c>
    </row>
    <row r="119">
      <c r="A119" s="5" t="inlineStr">
        <is>
          <t xml:space="preserve">  Cloud hosting, data feeds and tooling</t>
        </is>
      </c>
      <c r="B119" s="18">
        <f>Assumptions!$B$98</f>
        <v/>
      </c>
      <c r="C119" s="18">
        <f>IF(AND(Assumptions!$C$48&gt;0,Assumptions!$C$6&gt;=Assumptions!$C$48,Assumptions!$C$6&lt;Assumptions!$C$48+Assumptions!$C$49),B119,Assumptions!$C$98*Assumptions!$C$47)</f>
        <v/>
      </c>
      <c r="D119" s="18">
        <f>IF(AND(Assumptions!$C$48&gt;0,Assumptions!$D$6&gt;=Assumptions!$C$48,Assumptions!$D$6&lt;Assumptions!$C$48+Assumptions!$C$49),C119,Assumptions!$D$98*Assumptions!$C$47)</f>
        <v/>
      </c>
      <c r="E119" s="18">
        <f>IF(AND(Assumptions!$C$48&gt;0,Assumptions!$E$6&gt;=Assumptions!$C$48,Assumptions!$E$6&lt;Assumptions!$C$48+Assumptions!$C$49),D119,Assumptions!$E$98*Assumptions!$C$47)</f>
        <v/>
      </c>
      <c r="F119" s="18">
        <f>IF(AND(Assumptions!$C$48&gt;0,Assumptions!$F$6&gt;=Assumptions!$C$48,Assumptions!$F$6&lt;Assumptions!$C$48+Assumptions!$C$49),E119,Assumptions!$F$98*Assumptions!$C$47)</f>
        <v/>
      </c>
      <c r="G119" s="18">
        <f>IF(AND(Assumptions!$C$48&gt;0,Assumptions!$G$6&gt;=Assumptions!$C$48,Assumptions!$G$6&lt;Assumptions!$C$48+Assumptions!$C$49),F119,Assumptions!$G$98*Assumptions!$C$47)</f>
        <v/>
      </c>
      <c r="H119" s="18">
        <f>IF(AND(Assumptions!$C$48&gt;0,Assumptions!$H$6&gt;=Assumptions!$C$48,Assumptions!$H$6&lt;Assumptions!$C$48+Assumptions!$C$49),G119,Assumptions!$H$98*Assumptions!$C$47)</f>
        <v/>
      </c>
    </row>
    <row r="120">
      <c r="A120" s="5" t="inlineStr">
        <is>
          <t xml:space="preserve">  Security programme (SOC 2, pen tests, tooling, insurance)</t>
        </is>
      </c>
      <c r="B120" s="18">
        <f>Assumptions!$B$99</f>
        <v/>
      </c>
      <c r="C120" s="18">
        <f>IF(AND(Assumptions!$C$48&gt;0,Assumptions!$C$6&gt;=Assumptions!$C$48,Assumptions!$C$6&lt;Assumptions!$C$48+Assumptions!$C$49),B120,Assumptions!$C$99*Assumptions!$C$47)</f>
        <v/>
      </c>
      <c r="D120" s="18">
        <f>IF(AND(Assumptions!$C$48&gt;0,Assumptions!$D$6&gt;=Assumptions!$C$48,Assumptions!$D$6&lt;Assumptions!$C$48+Assumptions!$C$49),C120,Assumptions!$D$99*Assumptions!$C$47)</f>
        <v/>
      </c>
      <c r="E120" s="18">
        <f>IF(AND(Assumptions!$C$48&gt;0,Assumptions!$E$6&gt;=Assumptions!$C$48,Assumptions!$E$6&lt;Assumptions!$C$48+Assumptions!$C$49),D120,Assumptions!$E$99*Assumptions!$C$47)</f>
        <v/>
      </c>
      <c r="F120" s="18">
        <f>IF(AND(Assumptions!$C$48&gt;0,Assumptions!$F$6&gt;=Assumptions!$C$48,Assumptions!$F$6&lt;Assumptions!$C$48+Assumptions!$C$49),E120,Assumptions!$F$99*Assumptions!$C$47)</f>
        <v/>
      </c>
      <c r="G120" s="18">
        <f>IF(AND(Assumptions!$C$48&gt;0,Assumptions!$G$6&gt;=Assumptions!$C$48,Assumptions!$G$6&lt;Assumptions!$C$48+Assumptions!$C$49),F120,Assumptions!$G$99*Assumptions!$C$47)</f>
        <v/>
      </c>
      <c r="H120" s="18">
        <f>IF(AND(Assumptions!$C$48&gt;0,Assumptions!$H$6&gt;=Assumptions!$C$48,Assumptions!$H$6&lt;Assumptions!$C$48+Assumptions!$C$49),G120,Assumptions!$H$99*Assumptions!$C$47)</f>
        <v/>
      </c>
    </row>
    <row r="121">
      <c r="A121" s="5" t="inlineStr">
        <is>
          <t xml:space="preserve">  Legal and regulatory</t>
        </is>
      </c>
      <c r="B121" s="18">
        <f>Assumptions!$B$100</f>
        <v/>
      </c>
      <c r="C121" s="18">
        <f>IF(AND(Assumptions!$C$48&gt;0,Assumptions!$C$6&gt;=Assumptions!$C$48,Assumptions!$C$6&lt;Assumptions!$C$48+Assumptions!$C$49),B121,Assumptions!$C$100*Assumptions!$C$47)</f>
        <v/>
      </c>
      <c r="D121" s="18">
        <f>IF(AND(Assumptions!$C$48&gt;0,Assumptions!$D$6&gt;=Assumptions!$C$48,Assumptions!$D$6&lt;Assumptions!$C$48+Assumptions!$C$49),C121,Assumptions!$D$100*Assumptions!$C$47)</f>
        <v/>
      </c>
      <c r="E121" s="18">
        <f>IF(AND(Assumptions!$C$48&gt;0,Assumptions!$E$6&gt;=Assumptions!$C$48,Assumptions!$E$6&lt;Assumptions!$C$48+Assumptions!$C$49),D121,Assumptions!$E$100*Assumptions!$C$47)</f>
        <v/>
      </c>
      <c r="F121" s="18">
        <f>IF(AND(Assumptions!$C$48&gt;0,Assumptions!$F$6&gt;=Assumptions!$C$48,Assumptions!$F$6&lt;Assumptions!$C$48+Assumptions!$C$49),E121,Assumptions!$F$100*Assumptions!$C$47)</f>
        <v/>
      </c>
      <c r="G121" s="18">
        <f>IF(AND(Assumptions!$C$48&gt;0,Assumptions!$G$6&gt;=Assumptions!$C$48,Assumptions!$G$6&lt;Assumptions!$C$48+Assumptions!$C$49),F121,Assumptions!$G$100*Assumptions!$C$47)</f>
        <v/>
      </c>
      <c r="H121" s="18">
        <f>IF(AND(Assumptions!$C$48&gt;0,Assumptions!$H$6&gt;=Assumptions!$C$48,Assumptions!$H$6&lt;Assumptions!$C$48+Assumptions!$C$49),G121,Assumptions!$H$100*Assumptions!$C$47)</f>
        <v/>
      </c>
    </row>
    <row r="122">
      <c r="A122" s="5" t="inlineStr">
        <is>
          <t xml:space="preserve">  Marketing programmes and events</t>
        </is>
      </c>
      <c r="B122" s="18">
        <f>Assumptions!$B$101</f>
        <v/>
      </c>
      <c r="C122" s="18">
        <f>IF(AND(Assumptions!$C$48&gt;0,Assumptions!$C$6&gt;=Assumptions!$C$48,Assumptions!$C$6&lt;Assumptions!$C$48+Assumptions!$C$49),B122,Assumptions!$C$101*Assumptions!$C$47)</f>
        <v/>
      </c>
      <c r="D122" s="18">
        <f>IF(AND(Assumptions!$C$48&gt;0,Assumptions!$D$6&gt;=Assumptions!$C$48,Assumptions!$D$6&lt;Assumptions!$C$48+Assumptions!$C$49),C122,Assumptions!$D$101*Assumptions!$C$47)</f>
        <v/>
      </c>
      <c r="E122" s="18">
        <f>IF(AND(Assumptions!$C$48&gt;0,Assumptions!$E$6&gt;=Assumptions!$C$48,Assumptions!$E$6&lt;Assumptions!$C$48+Assumptions!$C$49),D122,Assumptions!$E$101*Assumptions!$C$47)</f>
        <v/>
      </c>
      <c r="F122" s="18">
        <f>IF(AND(Assumptions!$C$48&gt;0,Assumptions!$F$6&gt;=Assumptions!$C$48,Assumptions!$F$6&lt;Assumptions!$C$48+Assumptions!$C$49),E122,Assumptions!$F$101*Assumptions!$C$47)</f>
        <v/>
      </c>
      <c r="G122" s="18">
        <f>IF(AND(Assumptions!$C$48&gt;0,Assumptions!$G$6&gt;=Assumptions!$C$48,Assumptions!$G$6&lt;Assumptions!$C$48+Assumptions!$C$49),F122,Assumptions!$G$101*Assumptions!$C$47)</f>
        <v/>
      </c>
      <c r="H122" s="18">
        <f>IF(AND(Assumptions!$C$48&gt;0,Assumptions!$H$6&gt;=Assumptions!$C$48,Assumptions!$H$6&lt;Assumptions!$C$48+Assumptions!$C$49),G122,Assumptions!$H$101*Assumptions!$C$47)</f>
        <v/>
      </c>
    </row>
    <row r="123">
      <c r="A123" s="5" t="inlineStr">
        <is>
          <t xml:space="preserve">  Travel and customer visits</t>
        </is>
      </c>
      <c r="B123" s="18">
        <f>Assumptions!$B$102</f>
        <v/>
      </c>
      <c r="C123" s="18">
        <f>IF(AND(Assumptions!$C$48&gt;0,Assumptions!$C$6&gt;=Assumptions!$C$48,Assumptions!$C$6&lt;Assumptions!$C$48+Assumptions!$C$49),B123,Assumptions!$C$102*Assumptions!$C$47)</f>
        <v/>
      </c>
      <c r="D123" s="18">
        <f>IF(AND(Assumptions!$C$48&gt;0,Assumptions!$D$6&gt;=Assumptions!$C$48,Assumptions!$D$6&lt;Assumptions!$C$48+Assumptions!$C$49),C123,Assumptions!$D$102*Assumptions!$C$47)</f>
        <v/>
      </c>
      <c r="E123" s="18">
        <f>IF(AND(Assumptions!$C$48&gt;0,Assumptions!$E$6&gt;=Assumptions!$C$48,Assumptions!$E$6&lt;Assumptions!$C$48+Assumptions!$C$49),D123,Assumptions!$E$102*Assumptions!$C$47)</f>
        <v/>
      </c>
      <c r="F123" s="18">
        <f>IF(AND(Assumptions!$C$48&gt;0,Assumptions!$F$6&gt;=Assumptions!$C$48,Assumptions!$F$6&lt;Assumptions!$C$48+Assumptions!$C$49),E123,Assumptions!$F$102*Assumptions!$C$47)</f>
        <v/>
      </c>
      <c r="G123" s="18">
        <f>IF(AND(Assumptions!$C$48&gt;0,Assumptions!$G$6&gt;=Assumptions!$C$48,Assumptions!$G$6&lt;Assumptions!$C$48+Assumptions!$C$49),F123,Assumptions!$G$102*Assumptions!$C$47)</f>
        <v/>
      </c>
      <c r="H123" s="18">
        <f>IF(AND(Assumptions!$C$48&gt;0,Assumptions!$H$6&gt;=Assumptions!$C$48,Assumptions!$H$6&lt;Assumptions!$C$48+Assumptions!$C$49),G123,Assumptions!$H$102*Assumptions!$C$47)</f>
        <v/>
      </c>
    </row>
    <row r="124">
      <c r="A124" s="5" t="inlineStr">
        <is>
          <t xml:space="preserve">  Office, software, admin, accounting</t>
        </is>
      </c>
      <c r="B124" s="18">
        <f>Assumptions!$B$103</f>
        <v/>
      </c>
      <c r="C124" s="18">
        <f>IF(AND(Assumptions!$C$48&gt;0,Assumptions!$C$6&gt;=Assumptions!$C$48,Assumptions!$C$6&lt;Assumptions!$C$48+Assumptions!$C$49),B124,Assumptions!$C$103*Assumptions!$C$47)</f>
        <v/>
      </c>
      <c r="D124" s="18">
        <f>IF(AND(Assumptions!$C$48&gt;0,Assumptions!$D$6&gt;=Assumptions!$C$48,Assumptions!$D$6&lt;Assumptions!$C$48+Assumptions!$C$49),C124,Assumptions!$D$103*Assumptions!$C$47)</f>
        <v/>
      </c>
      <c r="E124" s="18">
        <f>IF(AND(Assumptions!$C$48&gt;0,Assumptions!$E$6&gt;=Assumptions!$C$48,Assumptions!$E$6&lt;Assumptions!$C$48+Assumptions!$C$49),D124,Assumptions!$E$103*Assumptions!$C$47)</f>
        <v/>
      </c>
      <c r="F124" s="18">
        <f>IF(AND(Assumptions!$C$48&gt;0,Assumptions!$F$6&gt;=Assumptions!$C$48,Assumptions!$F$6&lt;Assumptions!$C$48+Assumptions!$C$49),E124,Assumptions!$F$103*Assumptions!$C$47)</f>
        <v/>
      </c>
      <c r="G124" s="18">
        <f>IF(AND(Assumptions!$C$48&gt;0,Assumptions!$G$6&gt;=Assumptions!$C$48,Assumptions!$G$6&lt;Assumptions!$C$48+Assumptions!$C$49),F124,Assumptions!$G$103*Assumptions!$C$47)</f>
        <v/>
      </c>
      <c r="H124" s="18">
        <f>IF(AND(Assumptions!$C$48&gt;0,Assumptions!$H$6&gt;=Assumptions!$C$48,Assumptions!$H$6&lt;Assumptions!$C$48+Assumptions!$C$49),G124,Assumptions!$H$103*Assumptions!$C$47)</f>
        <v/>
      </c>
    </row>
    <row r="125">
      <c r="A125" s="5" t="inlineStr">
        <is>
          <t xml:space="preserve">  Partner commission on carrier revenue</t>
        </is>
      </c>
      <c r="B125" s="18">
        <f>B98*Assumptions!$B$43</f>
        <v/>
      </c>
      <c r="C125" s="18">
        <f>C98*Assumptions!$B$43</f>
        <v/>
      </c>
      <c r="D125" s="18">
        <f>D98*Assumptions!$B$43</f>
        <v/>
      </c>
      <c r="E125" s="18">
        <f>E98*Assumptions!$B$43</f>
        <v/>
      </c>
      <c r="F125" s="18">
        <f>F98*Assumptions!$B$43</f>
        <v/>
      </c>
      <c r="G125" s="18">
        <f>G98*Assumptions!$B$43</f>
        <v/>
      </c>
      <c r="H125" s="18">
        <f>H98*Assumptions!$B$43</f>
        <v/>
      </c>
    </row>
    <row r="126">
      <c r="A126" s="5" t="inlineStr">
        <is>
          <t>Cost of revenue</t>
        </is>
      </c>
      <c r="B126" s="18">
        <f>B117+B119+B104*Assumptions!$C$50</f>
        <v/>
      </c>
      <c r="C126" s="18">
        <f>C117+C119+C104*Assumptions!$C$50</f>
        <v/>
      </c>
      <c r="D126" s="18">
        <f>D117+D119+D104*Assumptions!$C$50</f>
        <v/>
      </c>
      <c r="E126" s="18">
        <f>E117+E119+E104*Assumptions!$C$50</f>
        <v/>
      </c>
      <c r="F126" s="18">
        <f>F117+F119+F104*Assumptions!$C$50</f>
        <v/>
      </c>
      <c r="G126" s="18">
        <f>G117+G119+G104*Assumptions!$C$50</f>
        <v/>
      </c>
      <c r="H126" s="18">
        <f>H117+H119+H104*Assumptions!$C$50</f>
        <v/>
      </c>
    </row>
    <row r="127">
      <c r="A127" s="5" t="inlineStr">
        <is>
          <t>Gross profit</t>
        </is>
      </c>
      <c r="B127" s="18">
        <f>B104-B126</f>
        <v/>
      </c>
      <c r="C127" s="18">
        <f>C104-C126</f>
        <v/>
      </c>
      <c r="D127" s="18">
        <f>D104-D126</f>
        <v/>
      </c>
      <c r="E127" s="18">
        <f>E104-E126</f>
        <v/>
      </c>
      <c r="F127" s="18">
        <f>F104-F126</f>
        <v/>
      </c>
      <c r="G127" s="18">
        <f>G104-G126</f>
        <v/>
      </c>
      <c r="H127" s="18">
        <f>H104-H126</f>
        <v/>
      </c>
    </row>
    <row r="128">
      <c r="A128" s="5" t="inlineStr">
        <is>
          <t>Gross margin</t>
        </is>
      </c>
      <c r="B128" s="12">
        <f>IF(B104=0,0,B127/B104)</f>
        <v/>
      </c>
      <c r="C128" s="12">
        <f>IF(C104=0,0,C127/C104)</f>
        <v/>
      </c>
      <c r="D128" s="12">
        <f>IF(D104=0,0,D127/D104)</f>
        <v/>
      </c>
      <c r="E128" s="12">
        <f>IF(E104=0,0,E127/E104)</f>
        <v/>
      </c>
      <c r="F128" s="12">
        <f>IF(F104=0,0,F127/F104)</f>
        <v/>
      </c>
      <c r="G128" s="12">
        <f>IF(G104=0,0,G127/G104)</f>
        <v/>
      </c>
      <c r="H128" s="12">
        <f>IF(H104=0,0,H127/H104)</f>
        <v/>
      </c>
    </row>
    <row r="129">
      <c r="A129" s="5" t="inlineStr">
        <is>
          <t>Operating expense</t>
        </is>
      </c>
      <c r="B129" s="18">
        <f>B118+B120+B121+B122+B123+B124+B125</f>
        <v/>
      </c>
      <c r="C129" s="18">
        <f>C118+C120+C121+C122+C123+C124+C125</f>
        <v/>
      </c>
      <c r="D129" s="18">
        <f>D118+D120+D121+D122+D123+D124+D125</f>
        <v/>
      </c>
      <c r="E129" s="18">
        <f>E118+E120+E121+E122+E123+E124+E125</f>
        <v/>
      </c>
      <c r="F129" s="18">
        <f>F118+F120+F121+F122+F123+F124+F125</f>
        <v/>
      </c>
      <c r="G129" s="18">
        <f>G118+G120+G121+G122+G123+G124+G125</f>
        <v/>
      </c>
      <c r="H129" s="18">
        <f>H118+H120+H121+H122+H123+H124+H125</f>
        <v/>
      </c>
    </row>
    <row r="130">
      <c r="A130" s="17" t="inlineStr">
        <is>
          <t>EBITDA</t>
        </is>
      </c>
      <c r="B130" s="18">
        <f>B127-B129</f>
        <v/>
      </c>
      <c r="C130" s="18">
        <f>C127-C129</f>
        <v/>
      </c>
      <c r="D130" s="18">
        <f>D127-D129</f>
        <v/>
      </c>
      <c r="E130" s="18">
        <f>E127-E129</f>
        <v/>
      </c>
      <c r="F130" s="18">
        <f>F127-F129</f>
        <v/>
      </c>
      <c r="G130" s="18">
        <f>G127-G129</f>
        <v/>
      </c>
      <c r="H130" s="18">
        <f>H127-H129</f>
        <v/>
      </c>
    </row>
    <row r="131">
      <c r="A131" s="5" t="inlineStr">
        <is>
          <t>Capex</t>
        </is>
      </c>
      <c r="B131" s="18">
        <f>Assumptions!$B$15*B116</f>
        <v/>
      </c>
      <c r="C131" s="18">
        <f>Assumptions!$B$15*MAX(0,C116-B116)</f>
        <v/>
      </c>
      <c r="D131" s="18">
        <f>Assumptions!$B$15*MAX(0,D116-C116)</f>
        <v/>
      </c>
      <c r="E131" s="18">
        <f>Assumptions!$B$15*MAX(0,E116-D116)</f>
        <v/>
      </c>
      <c r="F131" s="18">
        <f>Assumptions!$B$15*MAX(0,F116-E116)</f>
        <v/>
      </c>
      <c r="G131" s="18">
        <f>Assumptions!$B$15*MAX(0,G116-F116)</f>
        <v/>
      </c>
      <c r="H131" s="18">
        <f>Assumptions!$B$15*MAX(0,H116-G116)</f>
        <v/>
      </c>
    </row>
    <row r="132">
      <c r="A132" s="5" t="inlineStr">
        <is>
          <t>Depreciation</t>
        </is>
      </c>
      <c r="B132" s="18">
        <f>SUMPRODUCT((Assumptions!$B$6:$H$6&lt;=Assumptions!$B$6)*(Assumptions!$B$6:$H$6&gt;Assumptions!$B$6-Assumptions!$B$16)*$B$131:$H$131)/Assumptions!$B$16</f>
        <v/>
      </c>
      <c r="C132" s="18">
        <f>SUMPRODUCT((Assumptions!$B$6:$H$6&lt;=Assumptions!$C$6)*(Assumptions!$B$6:$H$6&gt;Assumptions!$C$6-Assumptions!$B$16)*$B$131:$H$131)/Assumptions!$B$16</f>
        <v/>
      </c>
      <c r="D132" s="18">
        <f>SUMPRODUCT((Assumptions!$B$6:$H$6&lt;=Assumptions!$D$6)*(Assumptions!$B$6:$H$6&gt;Assumptions!$D$6-Assumptions!$B$16)*$B$131:$H$131)/Assumptions!$B$16</f>
        <v/>
      </c>
      <c r="E132" s="18">
        <f>SUMPRODUCT((Assumptions!$B$6:$H$6&lt;=Assumptions!$E$6)*(Assumptions!$B$6:$H$6&gt;Assumptions!$E$6-Assumptions!$B$16)*$B$131:$H$131)/Assumptions!$B$16</f>
        <v/>
      </c>
      <c r="F132" s="18">
        <f>SUMPRODUCT((Assumptions!$B$6:$H$6&lt;=Assumptions!$F$6)*(Assumptions!$B$6:$H$6&gt;Assumptions!$F$6-Assumptions!$B$16)*$B$131:$H$131)/Assumptions!$B$16</f>
        <v/>
      </c>
      <c r="G132" s="18">
        <f>SUMPRODUCT((Assumptions!$B$6:$H$6&lt;=Assumptions!$G$6)*(Assumptions!$B$6:$H$6&gt;Assumptions!$G$6-Assumptions!$B$16)*$B$131:$H$131)/Assumptions!$B$16</f>
        <v/>
      </c>
      <c r="H132" s="18">
        <f>SUMPRODUCT((Assumptions!$B$6:$H$6&lt;=Assumptions!$H$6)*(Assumptions!$B$6:$H$6&gt;Assumptions!$H$6-Assumptions!$B$16)*$B$131:$H$131)/Assumptions!$B$16</f>
        <v/>
      </c>
    </row>
    <row r="133">
      <c r="A133" s="5" t="inlineStr">
        <is>
          <t>Profit before tax</t>
        </is>
      </c>
      <c r="B133" s="18">
        <f>B130-B132+Assumptions!$B$18*Assumptions!$B$17</f>
        <v/>
      </c>
      <c r="C133" s="18">
        <f>C130-C132+B140*Assumptions!$B$17</f>
        <v/>
      </c>
      <c r="D133" s="18">
        <f>D130-D132+C140*Assumptions!$B$17</f>
        <v/>
      </c>
      <c r="E133" s="18">
        <f>E130-E132+D140*Assumptions!$B$17</f>
        <v/>
      </c>
      <c r="F133" s="18">
        <f>F130-F132+E140*Assumptions!$B$17</f>
        <v/>
      </c>
      <c r="G133" s="18">
        <f>G130-G132+F140*Assumptions!$B$17</f>
        <v/>
      </c>
      <c r="H133" s="18">
        <f>H130-H132+G140*Assumptions!$B$17</f>
        <v/>
      </c>
    </row>
    <row r="134">
      <c r="A134" s="5" t="inlineStr">
        <is>
          <t>Cumulative profit before tax</t>
        </is>
      </c>
      <c r="B134" s="18">
        <f>B133</f>
        <v/>
      </c>
      <c r="C134" s="18">
        <f>B134+C133</f>
        <v/>
      </c>
      <c r="D134" s="18">
        <f>C134+D133</f>
        <v/>
      </c>
      <c r="E134" s="18">
        <f>D134+E133</f>
        <v/>
      </c>
      <c r="F134" s="18">
        <f>E134+F133</f>
        <v/>
      </c>
      <c r="G134" s="18">
        <f>F134+G133</f>
        <v/>
      </c>
      <c r="H134" s="18">
        <f>G134+H133</f>
        <v/>
      </c>
    </row>
    <row r="135">
      <c r="A135" s="5" t="inlineStr">
        <is>
          <t>Tax</t>
        </is>
      </c>
      <c r="B135" s="18">
        <f>MAX(0,B134)*Assumptions!$B$12</f>
        <v/>
      </c>
      <c r="C135" s="18">
        <f>MAX(0,MAX(0,C134)-MAX(0,B134))*Assumptions!$B$12</f>
        <v/>
      </c>
      <c r="D135" s="18">
        <f>MAX(0,MAX(0,D134)-MAX(0,C134))*Assumptions!$B$12</f>
        <v/>
      </c>
      <c r="E135" s="18">
        <f>MAX(0,MAX(0,E134)-MAX(0,D134))*Assumptions!$B$12</f>
        <v/>
      </c>
      <c r="F135" s="18">
        <f>MAX(0,MAX(0,F134)-MAX(0,E134))*Assumptions!$B$12</f>
        <v/>
      </c>
      <c r="G135" s="18">
        <f>MAX(0,MAX(0,G134)-MAX(0,F134))*Assumptions!$B$12</f>
        <v/>
      </c>
      <c r="H135" s="18">
        <f>MAX(0,MAX(0,H134)-MAX(0,G134))*Assumptions!$B$12</f>
        <v/>
      </c>
    </row>
    <row r="136">
      <c r="A136" s="17" t="inlineStr">
        <is>
          <t>Net income</t>
        </is>
      </c>
      <c r="B136" s="18">
        <f>B133-B135</f>
        <v/>
      </c>
      <c r="C136" s="18">
        <f>C133-C135</f>
        <v/>
      </c>
      <c r="D136" s="18">
        <f>D133-D135</f>
        <v/>
      </c>
      <c r="E136" s="18">
        <f>E133-E135</f>
        <v/>
      </c>
      <c r="F136" s="18">
        <f>F133-F135</f>
        <v/>
      </c>
      <c r="G136" s="18">
        <f>G133-G135</f>
        <v/>
      </c>
      <c r="H136" s="18">
        <f>H133-H135</f>
        <v/>
      </c>
    </row>
    <row r="137">
      <c r="A137" s="5" t="inlineStr">
        <is>
          <t>Receivables</t>
        </is>
      </c>
      <c r="B137" s="18">
        <f>B104*Assumptions!$B$13/365</f>
        <v/>
      </c>
      <c r="C137" s="18">
        <f>C104*Assumptions!$B$13/365</f>
        <v/>
      </c>
      <c r="D137" s="18">
        <f>D104*Assumptions!$B$13/365</f>
        <v/>
      </c>
      <c r="E137" s="18">
        <f>E104*Assumptions!$B$13/365</f>
        <v/>
      </c>
      <c r="F137" s="18">
        <f>F104*Assumptions!$B$13/365</f>
        <v/>
      </c>
      <c r="G137" s="18">
        <f>G104*Assumptions!$B$13/365</f>
        <v/>
      </c>
      <c r="H137" s="18">
        <f>H104*Assumptions!$B$13/365</f>
        <v/>
      </c>
    </row>
    <row r="138">
      <c r="A138" s="5" t="inlineStr">
        <is>
          <t>Payables</t>
        </is>
      </c>
      <c r="B138" s="18">
        <f>(B119+B104*Assumptions!$C$50+B120+B121+B122+B123+B124+B125)*Assumptions!$B$14/365</f>
        <v/>
      </c>
      <c r="C138" s="18">
        <f>(C119+C104*Assumptions!$C$50+C120+C121+C122+C123+C124+C125)*Assumptions!$B$14/365</f>
        <v/>
      </c>
      <c r="D138" s="18">
        <f>(D119+D104*Assumptions!$C$50+D120+D121+D122+D123+D124+D125)*Assumptions!$B$14/365</f>
        <v/>
      </c>
      <c r="E138" s="18">
        <f>(E119+E104*Assumptions!$C$50+E120+E121+E122+E123+E124+E125)*Assumptions!$B$14/365</f>
        <v/>
      </c>
      <c r="F138" s="18">
        <f>(F119+F104*Assumptions!$C$50+F120+F121+F122+F123+F124+F125)*Assumptions!$B$14/365</f>
        <v/>
      </c>
      <c r="G138" s="18">
        <f>(G119+G104*Assumptions!$C$50+G120+G121+G122+G123+G124+G125)*Assumptions!$B$14/365</f>
        <v/>
      </c>
      <c r="H138" s="18">
        <f>(H119+H104*Assumptions!$C$50+H120+H121+H122+H123+H124+H125)*Assumptions!$B$14/365</f>
        <v/>
      </c>
    </row>
    <row r="139">
      <c r="A139" s="17" t="inlineStr">
        <is>
          <t>Free cash flow (before financing)</t>
        </is>
      </c>
      <c r="B139" s="18">
        <f>B136+B132-(B137)+(B138)-B131</f>
        <v/>
      </c>
      <c r="C139" s="18">
        <f>C136+C132-(C137-B137)+(C138-B138)-C131</f>
        <v/>
      </c>
      <c r="D139" s="18">
        <f>D136+D132-(D137-C137)+(D138-C138)-D131</f>
        <v/>
      </c>
      <c r="E139" s="18">
        <f>E136+E132-(E137-D137)+(E138-D138)-E131</f>
        <v/>
      </c>
      <c r="F139" s="18">
        <f>F136+F132-(F137-E137)+(F138-E138)-F131</f>
        <v/>
      </c>
      <c r="G139" s="18">
        <f>G136+G132-(G137-F137)+(G138-F138)-G131</f>
        <v/>
      </c>
      <c r="H139" s="18">
        <f>H136+H132-(H137-G137)+(H138-G138)-H131</f>
        <v/>
      </c>
    </row>
    <row r="140">
      <c r="A140" s="17" t="inlineStr">
        <is>
          <t>Closing cash with the planned rounds</t>
        </is>
      </c>
      <c r="B140" s="18">
        <f>Assumptions!$B$18+B139+IF(Assumptions!$B$6=Assumptions!$B$22,Assumptions!$B$21,0)+IF(Assumptions!$B$6=Assumptions!$B$24,Assumptions!$B$23,0)+IF(Assumptions!$B$6=Assumptions!$B$26,Assumptions!$B$25,0)</f>
        <v/>
      </c>
      <c r="C140" s="18">
        <f>B140+C139+IF(Assumptions!$C$6=Assumptions!$B$22,Assumptions!$B$21,0)+IF(Assumptions!$C$6=Assumptions!$B$24,Assumptions!$B$23,0)+IF(Assumptions!$C$6=Assumptions!$B$26,Assumptions!$B$25,0)</f>
        <v/>
      </c>
      <c r="D140" s="18">
        <f>C140+D139+IF(Assumptions!$D$6=Assumptions!$B$22,Assumptions!$B$21,0)+IF(Assumptions!$D$6=Assumptions!$B$24,Assumptions!$B$23,0)+IF(Assumptions!$D$6=Assumptions!$B$26,Assumptions!$B$25,0)</f>
        <v/>
      </c>
      <c r="E140" s="18">
        <f>D140+E139+IF(Assumptions!$E$6=Assumptions!$B$22,Assumptions!$B$21,0)+IF(Assumptions!$E$6=Assumptions!$B$24,Assumptions!$B$23,0)+IF(Assumptions!$E$6=Assumptions!$B$26,Assumptions!$B$25,0)</f>
        <v/>
      </c>
      <c r="F140" s="18">
        <f>E140+F139+IF(Assumptions!$F$6=Assumptions!$B$22,Assumptions!$B$21,0)+IF(Assumptions!$F$6=Assumptions!$B$24,Assumptions!$B$23,0)+IF(Assumptions!$F$6=Assumptions!$B$26,Assumptions!$B$25,0)</f>
        <v/>
      </c>
      <c r="G140" s="18">
        <f>F140+G139+IF(Assumptions!$G$6=Assumptions!$B$22,Assumptions!$B$21,0)+IF(Assumptions!$G$6=Assumptions!$B$24,Assumptions!$B$23,0)+IF(Assumptions!$G$6=Assumptions!$B$26,Assumptions!$B$25,0)</f>
        <v/>
      </c>
      <c r="H140" s="18">
        <f>G140+H139+IF(Assumptions!$H$6=Assumptions!$B$22,Assumptions!$B$21,0)+IF(Assumptions!$H$6=Assumptions!$B$24,Assumptions!$B$23,0)+IF(Assumptions!$H$6=Assumptions!$B$26,Assumptions!$B$25,0)</f>
        <v/>
      </c>
    </row>
    <row r="141">
      <c r="A141" s="5" t="inlineStr">
        <is>
          <t>Cumulative free cash flow</t>
        </is>
      </c>
      <c r="B141" s="18">
        <f>B139</f>
        <v/>
      </c>
      <c r="C141" s="18">
        <f>B141+C139</f>
        <v/>
      </c>
      <c r="D141" s="18">
        <f>C141+D139</f>
        <v/>
      </c>
      <c r="E141" s="18">
        <f>D141+E139</f>
        <v/>
      </c>
      <c r="F141" s="18">
        <f>E141+F139</f>
        <v/>
      </c>
      <c r="G141" s="18">
        <f>F141+G139</f>
        <v/>
      </c>
      <c r="H141" s="18">
        <f>G141+H139</f>
        <v/>
      </c>
    </row>
    <row r="142">
      <c r="A142" s="5" t="inlineStr">
        <is>
          <t>Cumulative FCF before the Series A year</t>
        </is>
      </c>
      <c r="B142" s="18">
        <f>IF(Assumptions!$B$6&lt;Assumptions!$B$26,B141,0)</f>
        <v/>
      </c>
      <c r="C142" s="18">
        <f>IF(Assumptions!$C$6&lt;Assumptions!$B$26,C141,0)</f>
        <v/>
      </c>
      <c r="D142" s="18">
        <f>IF(Assumptions!$D$6&lt;Assumptions!$B$26,D141,0)</f>
        <v/>
      </c>
      <c r="E142" s="18">
        <f>IF(Assumptions!$E$6&lt;Assumptions!$B$26,E141,0)</f>
        <v/>
      </c>
      <c r="F142" s="18">
        <f>IF(Assumptions!$F$6&lt;Assumptions!$B$26,F141,0)</f>
        <v/>
      </c>
      <c r="G142" s="18">
        <f>IF(Assumptions!$G$6&lt;Assumptions!$B$26,G141,0)</f>
        <v/>
      </c>
      <c r="H142" s="18">
        <f>IF(Assumptions!$H$6&lt;Assumptions!$B$26,H141,0)</f>
        <v/>
      </c>
    </row>
    <row r="143">
      <c r="A143" s="17" t="inlineStr">
        <is>
          <t>Lowest year-end cash with the planned rounds</t>
        </is>
      </c>
      <c r="B143" s="18">
        <f>MIN(B140:H140)</f>
        <v/>
      </c>
    </row>
    <row r="144">
      <c r="A144" s="17" t="inlineStr">
        <is>
          <t>Total equity need incl. buffer</t>
        </is>
      </c>
      <c r="B144" s="18">
        <f>MAX(0,-MIN(B141:H141))*(1+Assumptions!$B$20)</f>
        <v/>
      </c>
    </row>
    <row r="145">
      <c r="A145" s="17" t="inlineStr">
        <is>
          <t>Seed need incl. buffer (deepest point before a mid-year Series A)</t>
        </is>
      </c>
      <c r="B145" s="18">
        <f>MAX(0,-MIN(0,MIN(B142:H142),SUMPRODUCT((Assumptions!$B$6:$H$6&lt;Assumptions!$B$26)*$B$139:$H$139)+0.5*SUMPRODUCT((Assumptions!$B$6:$H$6=Assumptions!$B$26)*$B$139:$H$139)))*(1+Assumptions!$B$20)</f>
        <v/>
      </c>
    </row>
    <row r="146">
      <c r="A146" s="5" t="inlineStr">
        <is>
          <t>Month ARR crosses the Series A milestone (linear within year)</t>
        </is>
      </c>
      <c r="B146" s="16">
        <f>IF(B105&gt;=Assumptions!$B$19,12*Assumptions!$B$19/B105,"")</f>
        <v/>
      </c>
      <c r="C146" s="16">
        <f>IF(AND(C105&gt;=Assumptions!$B$19,B105&lt;Assumptions!$B$19),12*(Assumptions!$C$6-1)+12*(Assumptions!$B$19-B105)/(C105-B105),"")</f>
        <v/>
      </c>
      <c r="D146" s="16">
        <f>IF(AND(D105&gt;=Assumptions!$B$19,C105&lt;Assumptions!$B$19),12*(Assumptions!$D$6-1)+12*(Assumptions!$B$19-C105)/(D105-C105),"")</f>
        <v/>
      </c>
      <c r="E146" s="16">
        <f>IF(AND(E105&gt;=Assumptions!$B$19,D105&lt;Assumptions!$B$19),12*(Assumptions!$E$6-1)+12*(Assumptions!$B$19-D105)/(E105-D105),"")</f>
        <v/>
      </c>
      <c r="F146" s="16">
        <f>IF(AND(F105&gt;=Assumptions!$B$19,E105&lt;Assumptions!$B$19),12*(Assumptions!$F$6-1)+12*(Assumptions!$B$19-E105)/(F105-E105),"")</f>
        <v/>
      </c>
      <c r="G146" s="16">
        <f>IF(AND(G105&gt;=Assumptions!$B$19,F105&lt;Assumptions!$B$19),12*(Assumptions!$G$6-1)+12*(Assumptions!$B$19-F105)/(G105-F105),"")</f>
        <v/>
      </c>
      <c r="H146" s="16">
        <f>IF(AND(H105&gt;=Assumptions!$B$19,G105&lt;Assumptions!$B$19),12*(Assumptions!$H$6-1)+12*(Assumptions!$B$19-G105)/(H105-G105),"")</f>
        <v/>
      </c>
    </row>
    <row r="147">
      <c r="A147" s="17" t="inlineStr">
        <is>
          <t>Series A milestone month</t>
        </is>
      </c>
      <c r="B147" s="14">
        <f>IF(COUNT(B146:H146)=0,"not reached",ROUNDUP(SUM(B146:H146),0))</f>
        <v/>
      </c>
    </row>
    <row r="148">
      <c r="A148" s="5" t="inlineStr">
        <is>
          <t>Cash if only the seed is raised</t>
        </is>
      </c>
      <c r="B148" s="18">
        <f>(Assumptions!$B$18+Assumptions!$B$21+Assumptions!$B$23)+B141</f>
        <v/>
      </c>
      <c r="C148" s="18">
        <f>(Assumptions!$B$18+Assumptions!$B$21+Assumptions!$B$23)+C141</f>
        <v/>
      </c>
      <c r="D148" s="18">
        <f>(Assumptions!$B$18+Assumptions!$B$21+Assumptions!$B$23)+D141</f>
        <v/>
      </c>
      <c r="E148" s="18">
        <f>(Assumptions!$B$18+Assumptions!$B$21+Assumptions!$B$23)+E141</f>
        <v/>
      </c>
      <c r="F148" s="18">
        <f>(Assumptions!$B$18+Assumptions!$B$21+Assumptions!$B$23)+F141</f>
        <v/>
      </c>
      <c r="G148" s="18">
        <f>(Assumptions!$B$18+Assumptions!$B$21+Assumptions!$B$23)+G141</f>
        <v/>
      </c>
      <c r="H148" s="18">
        <f>(Assumptions!$B$18+Assumptions!$B$21+Assumptions!$B$23)+H141</f>
        <v/>
      </c>
    </row>
    <row r="149">
      <c r="A149" s="5" t="inlineStr">
        <is>
          <t>Month seed-only cash runs out (linear within year)</t>
        </is>
      </c>
      <c r="B149" s="16">
        <f>IF(B148&lt;0,12*(Assumptions!$B$18+Assumptions!$B$21+Assumptions!$B$23)/((Assumptions!$B$18+Assumptions!$B$21+Assumptions!$B$23)-B148),"")</f>
        <v/>
      </c>
      <c r="C149" s="16">
        <f>IF(AND(C148&lt;0,B148&gt;=0),12*(Assumptions!$C$6-1)+12*B148/(B148-C148),"")</f>
        <v/>
      </c>
      <c r="D149" s="16">
        <f>IF(AND(D148&lt;0,C148&gt;=0),12*(Assumptions!$D$6-1)+12*C148/(C148-D148),"")</f>
        <v/>
      </c>
      <c r="E149" s="16">
        <f>IF(AND(E148&lt;0,D148&gt;=0),12*(Assumptions!$E$6-1)+12*D148/(D148-E148),"")</f>
        <v/>
      </c>
      <c r="F149" s="16">
        <f>IF(AND(F148&lt;0,E148&gt;=0),12*(Assumptions!$F$6-1)+12*E148/(E148-F148),"")</f>
        <v/>
      </c>
      <c r="G149" s="16">
        <f>IF(AND(G148&lt;0,F148&gt;=0),12*(Assumptions!$G$6-1)+12*F148/(F148-G148),"")</f>
        <v/>
      </c>
      <c r="H149" s="16">
        <f>IF(AND(H148&lt;0,G148&gt;=0),12*(Assumptions!$H$6-1)+12*G148/(G148-H148),"")</f>
        <v/>
      </c>
    </row>
    <row r="150">
      <c r="A150" s="17" t="inlineStr">
        <is>
          <t>Seed runway in months, without a Series A</t>
        </is>
      </c>
      <c r="B150" s="14">
        <f>IF(COUNT(B149:H149)=0,"beyond month 84",ROUNDDOWN(SUM(B149:H149),0))</f>
        <v/>
      </c>
    </row>
    <row r="151"/>
    <row r="152">
      <c r="A152" s="2" t="inlineStr">
        <is>
          <t>Bear case</t>
        </is>
      </c>
      <c r="B152" s="2">
        <f>"Y"&amp;Assumptions!$B$6</f>
        <v/>
      </c>
      <c r="C152" s="2">
        <f>"Y"&amp;Assumptions!$C$6</f>
        <v/>
      </c>
      <c r="D152" s="2">
        <f>"Y"&amp;Assumptions!$D$6</f>
        <v/>
      </c>
      <c r="E152" s="2">
        <f>"Y"&amp;Assumptions!$E$6</f>
        <v/>
      </c>
      <c r="F152" s="2">
        <f>"Y"&amp;Assumptions!$F$6</f>
        <v/>
      </c>
      <c r="G152" s="2">
        <f>"Y"&amp;Assumptions!$G$6</f>
        <v/>
      </c>
      <c r="H152" s="2">
        <f>"Y"&amp;Assumptions!$H$6</f>
        <v/>
      </c>
    </row>
    <row r="153">
      <c r="A153" s="5" t="inlineStr">
        <is>
          <t>Shippers (mid-market): new accounts</t>
        </is>
      </c>
      <c r="B153" s="14">
        <f>ROUND(Assumptions!$B$54*Assumptions!$B$39,0)</f>
        <v/>
      </c>
      <c r="C153" s="14">
        <f>ROUND(Assumptions!$C$54*Assumptions!$B$39,0)</f>
        <v/>
      </c>
      <c r="D153" s="14">
        <f>ROUND(Assumptions!$D$54*Assumptions!$B$39,0)</f>
        <v/>
      </c>
      <c r="E153" s="14">
        <f>ROUND(Assumptions!$E$54*Assumptions!$B$39,0)</f>
        <v/>
      </c>
      <c r="F153" s="14">
        <f>ROUND(Assumptions!$F$54*Assumptions!$B$39,0)</f>
        <v/>
      </c>
      <c r="G153" s="14">
        <f>ROUND(Assumptions!$G$54*Assumptions!$B$39,0)</f>
        <v/>
      </c>
      <c r="H153" s="14">
        <f>ROUND(Assumptions!$H$54*Assumptions!$B$39,0)</f>
        <v/>
      </c>
    </row>
    <row r="154">
      <c r="A154" s="5" t="inlineStr">
        <is>
          <t>Shippers (mid-market): accounts lost = ROUND(prior year-end x churn)</t>
        </is>
      </c>
      <c r="B154" s="14">
        <f>0</f>
        <v/>
      </c>
      <c r="C154" s="14">
        <f>ROUND(B155*Assumptions!$D$45,0)</f>
        <v/>
      </c>
      <c r="D154" s="14">
        <f>ROUND(C155*Assumptions!$D$45,0)</f>
        <v/>
      </c>
      <c r="E154" s="14">
        <f>ROUND(D155*Assumptions!$D$45,0)</f>
        <v/>
      </c>
      <c r="F154" s="14">
        <f>ROUND(E155*Assumptions!$D$45,0)</f>
        <v/>
      </c>
      <c r="G154" s="14">
        <f>ROUND(F155*Assumptions!$D$45,0)</f>
        <v/>
      </c>
      <c r="H154" s="14">
        <f>ROUND(G155*Assumptions!$D$45,0)</f>
        <v/>
      </c>
    </row>
    <row r="155">
      <c r="A155" s="17" t="inlineStr">
        <is>
          <t>Shippers (mid-market): accounts at year end</t>
        </is>
      </c>
      <c r="B155" s="14">
        <f>B153</f>
        <v/>
      </c>
      <c r="C155" s="14">
        <f>B155-C154+C153</f>
        <v/>
      </c>
      <c r="D155" s="14">
        <f>C155-D154+D153</f>
        <v/>
      </c>
      <c r="E155" s="14">
        <f>D155-E154+E153</f>
        <v/>
      </c>
      <c r="F155" s="14">
        <f>E155-F154+F153</f>
        <v/>
      </c>
      <c r="G155" s="14">
        <f>F155-G154+G153</f>
        <v/>
      </c>
      <c r="H155" s="14">
        <f>G155-H154+H153</f>
        <v/>
      </c>
    </row>
    <row r="156">
      <c r="A156" s="5" t="inlineStr">
        <is>
          <t>Shippers (mid-market): average accounts</t>
        </is>
      </c>
      <c r="B156" s="16">
        <f>B155/2</f>
        <v/>
      </c>
      <c r="C156" s="16">
        <f>(B155+C155)/2</f>
        <v/>
      </c>
      <c r="D156" s="16">
        <f>(C155+D155)/2</f>
        <v/>
      </c>
      <c r="E156" s="16">
        <f>(D155+E155)/2</f>
        <v/>
      </c>
      <c r="F156" s="16">
        <f>(E155+F155)/2</f>
        <v/>
      </c>
      <c r="G156" s="16">
        <f>(F155+G155)/2</f>
        <v/>
      </c>
      <c r="H156" s="16">
        <f>(G155+H155)/2</f>
        <v/>
      </c>
    </row>
    <row r="157">
      <c r="A157" s="5" t="inlineStr">
        <is>
          <t>Shippers (mid-market): revenue per account ($K)</t>
        </is>
      </c>
      <c r="B157" s="16">
        <f>(Assumptions!$B$35+Assumptions!$B$36*Assumptions!$B$40*Assumptions!$B$37)*Assumptions!$D$46</f>
        <v/>
      </c>
      <c r="C157" s="16">
        <f>(Assumptions!$C$35+Assumptions!$C$36*Assumptions!$B$40*Assumptions!$C$37)*Assumptions!$D$46</f>
        <v/>
      </c>
      <c r="D157" s="16">
        <f>(Assumptions!$D$35+Assumptions!$D$36*Assumptions!$B$40*Assumptions!$D$37)*Assumptions!$D$46</f>
        <v/>
      </c>
      <c r="E157" s="16">
        <f>(Assumptions!$E$35+Assumptions!$E$36*Assumptions!$B$40*Assumptions!$E$37)*Assumptions!$D$46</f>
        <v/>
      </c>
      <c r="F157" s="16">
        <f>(Assumptions!$F$35+Assumptions!$F$36*Assumptions!$B$40*Assumptions!$F$37)*Assumptions!$D$46</f>
        <v/>
      </c>
      <c r="G157" s="16">
        <f>(Assumptions!$G$35+Assumptions!$G$36*Assumptions!$B$40*Assumptions!$G$37)*Assumptions!$D$46</f>
        <v/>
      </c>
      <c r="H157" s="16">
        <f>(Assumptions!$H$35+Assumptions!$H$36*Assumptions!$B$40*Assumptions!$H$37)*Assumptions!$D$46</f>
        <v/>
      </c>
    </row>
    <row r="158">
      <c r="A158" s="5" t="inlineStr">
        <is>
          <t>Shippers (mid-market): revenue</t>
        </is>
      </c>
      <c r="B158" s="18">
        <f>B156*B157</f>
        <v/>
      </c>
      <c r="C158" s="18">
        <f>C156*C157</f>
        <v/>
      </c>
      <c r="D158" s="18">
        <f>D156*D157</f>
        <v/>
      </c>
      <c r="E158" s="18">
        <f>E156*E157</f>
        <v/>
      </c>
      <c r="F158" s="18">
        <f>F156*F157</f>
        <v/>
      </c>
      <c r="G158" s="18">
        <f>G156*G157</f>
        <v/>
      </c>
      <c r="H158" s="18">
        <f>H156*H157</f>
        <v/>
      </c>
    </row>
    <row r="159">
      <c r="A159" s="5" t="inlineStr">
        <is>
          <t>Shippers (mid-market): ARR at year end</t>
        </is>
      </c>
      <c r="B159" s="18">
        <f>B155*B157</f>
        <v/>
      </c>
      <c r="C159" s="18">
        <f>C155*C157</f>
        <v/>
      </c>
      <c r="D159" s="18">
        <f>D155*D157</f>
        <v/>
      </c>
      <c r="E159" s="18">
        <f>E155*E157</f>
        <v/>
      </c>
      <c r="F159" s="18">
        <f>F155*F157</f>
        <v/>
      </c>
      <c r="G159" s="18">
        <f>G155*G157</f>
        <v/>
      </c>
      <c r="H159" s="18">
        <f>H155*H157</f>
        <v/>
      </c>
    </row>
    <row r="160">
      <c r="A160" s="5" t="inlineStr">
        <is>
          <t>SME importers: new accounts</t>
        </is>
      </c>
      <c r="B160" s="14">
        <f>Assumptions!$B$54-ROUND(Assumptions!$B$54*Assumptions!$B$39,0)</f>
        <v/>
      </c>
      <c r="C160" s="14">
        <f>Assumptions!$C$54-ROUND(Assumptions!$C$54*Assumptions!$B$39,0)</f>
        <v/>
      </c>
      <c r="D160" s="14">
        <f>Assumptions!$D$54-ROUND(Assumptions!$D$54*Assumptions!$B$39,0)</f>
        <v/>
      </c>
      <c r="E160" s="14">
        <f>Assumptions!$E$54-ROUND(Assumptions!$E$54*Assumptions!$B$39,0)</f>
        <v/>
      </c>
      <c r="F160" s="14">
        <f>Assumptions!$F$54-ROUND(Assumptions!$F$54*Assumptions!$B$39,0)</f>
        <v/>
      </c>
      <c r="G160" s="14">
        <f>Assumptions!$G$54-ROUND(Assumptions!$G$54*Assumptions!$B$39,0)</f>
        <v/>
      </c>
      <c r="H160" s="14">
        <f>Assumptions!$H$54-ROUND(Assumptions!$H$54*Assumptions!$B$39,0)</f>
        <v/>
      </c>
    </row>
    <row r="161">
      <c r="A161" s="5" t="inlineStr">
        <is>
          <t>SME importers: accounts lost = ROUND(prior year-end x churn)</t>
        </is>
      </c>
      <c r="B161" s="14">
        <f>0</f>
        <v/>
      </c>
      <c r="C161" s="14">
        <f>ROUND(B162*Assumptions!$D$45,0)</f>
        <v/>
      </c>
      <c r="D161" s="14">
        <f>ROUND(C162*Assumptions!$D$45,0)</f>
        <v/>
      </c>
      <c r="E161" s="14">
        <f>ROUND(D162*Assumptions!$D$45,0)</f>
        <v/>
      </c>
      <c r="F161" s="14">
        <f>ROUND(E162*Assumptions!$D$45,0)</f>
        <v/>
      </c>
      <c r="G161" s="14">
        <f>ROUND(F162*Assumptions!$D$45,0)</f>
        <v/>
      </c>
      <c r="H161" s="14">
        <f>ROUND(G162*Assumptions!$D$45,0)</f>
        <v/>
      </c>
    </row>
    <row r="162">
      <c r="A162" s="17" t="inlineStr">
        <is>
          <t>SME importers: accounts at year end</t>
        </is>
      </c>
      <c r="B162" s="14">
        <f>B160</f>
        <v/>
      </c>
      <c r="C162" s="14">
        <f>B162-C161+C160</f>
        <v/>
      </c>
      <c r="D162" s="14">
        <f>C162-D161+D160</f>
        <v/>
      </c>
      <c r="E162" s="14">
        <f>D162-E161+E160</f>
        <v/>
      </c>
      <c r="F162" s="14">
        <f>E162-F161+F160</f>
        <v/>
      </c>
      <c r="G162" s="14">
        <f>F162-G161+G160</f>
        <v/>
      </c>
      <c r="H162" s="14">
        <f>G162-H161+H160</f>
        <v/>
      </c>
    </row>
    <row r="163">
      <c r="A163" s="5" t="inlineStr">
        <is>
          <t>SME importers: average accounts</t>
        </is>
      </c>
      <c r="B163" s="16">
        <f>B162/2</f>
        <v/>
      </c>
      <c r="C163" s="16">
        <f>(B162+C162)/2</f>
        <v/>
      </c>
      <c r="D163" s="16">
        <f>(C162+D162)/2</f>
        <v/>
      </c>
      <c r="E163" s="16">
        <f>(D162+E162)/2</f>
        <v/>
      </c>
      <c r="F163" s="16">
        <f>(E162+F162)/2</f>
        <v/>
      </c>
      <c r="G163" s="16">
        <f>(F162+G162)/2</f>
        <v/>
      </c>
      <c r="H163" s="16">
        <f>(G162+H162)/2</f>
        <v/>
      </c>
    </row>
    <row r="164">
      <c r="A164" s="5" t="inlineStr">
        <is>
          <t>SME importers: revenue per account ($K)</t>
        </is>
      </c>
      <c r="B164" s="16">
        <f>(Assumptions!$B$35+Assumptions!$B$36*Assumptions!$B$37)*Assumptions!$D$46</f>
        <v/>
      </c>
      <c r="C164" s="16">
        <f>(Assumptions!$C$35+Assumptions!$C$36*Assumptions!$C$37)*Assumptions!$D$46</f>
        <v/>
      </c>
      <c r="D164" s="16">
        <f>(Assumptions!$D$35+Assumptions!$D$36*Assumptions!$D$37)*Assumptions!$D$46</f>
        <v/>
      </c>
      <c r="E164" s="16">
        <f>(Assumptions!$E$35+Assumptions!$E$36*Assumptions!$E$37)*Assumptions!$D$46</f>
        <v/>
      </c>
      <c r="F164" s="16">
        <f>(Assumptions!$F$35+Assumptions!$F$36*Assumptions!$F$37)*Assumptions!$D$46</f>
        <v/>
      </c>
      <c r="G164" s="16">
        <f>(Assumptions!$G$35+Assumptions!$G$36*Assumptions!$G$37)*Assumptions!$D$46</f>
        <v/>
      </c>
      <c r="H164" s="16">
        <f>(Assumptions!$H$35+Assumptions!$H$36*Assumptions!$H$37)*Assumptions!$D$46</f>
        <v/>
      </c>
    </row>
    <row r="165">
      <c r="A165" s="5" t="inlineStr">
        <is>
          <t>SME importers: revenue</t>
        </is>
      </c>
      <c r="B165" s="18">
        <f>B163*B164</f>
        <v/>
      </c>
      <c r="C165" s="18">
        <f>C163*C164</f>
        <v/>
      </c>
      <c r="D165" s="18">
        <f>D163*D164</f>
        <v/>
      </c>
      <c r="E165" s="18">
        <f>E163*E164</f>
        <v/>
      </c>
      <c r="F165" s="18">
        <f>F163*F164</f>
        <v/>
      </c>
      <c r="G165" s="18">
        <f>G163*G164</f>
        <v/>
      </c>
      <c r="H165" s="18">
        <f>H163*H164</f>
        <v/>
      </c>
    </row>
    <row r="166">
      <c r="A166" s="5" t="inlineStr">
        <is>
          <t>SME importers: ARR at year end</t>
        </is>
      </c>
      <c r="B166" s="18">
        <f>B162*B164</f>
        <v/>
      </c>
      <c r="C166" s="18">
        <f>C162*C164</f>
        <v/>
      </c>
      <c r="D166" s="18">
        <f>D162*D164</f>
        <v/>
      </c>
      <c r="E166" s="18">
        <f>E162*E164</f>
        <v/>
      </c>
      <c r="F166" s="18">
        <f>F162*F164</f>
        <v/>
      </c>
      <c r="G166" s="18">
        <f>G162*G164</f>
        <v/>
      </c>
      <c r="H166" s="18">
        <f>H162*H164</f>
        <v/>
      </c>
    </row>
    <row r="167">
      <c r="A167" s="5" t="inlineStr">
        <is>
          <t>Carriers (partner-led): new accounts</t>
        </is>
      </c>
      <c r="B167" s="14">
        <f>Assumptions!$B$58</f>
        <v/>
      </c>
      <c r="C167" s="14">
        <f>Assumptions!$C$58</f>
        <v/>
      </c>
      <c r="D167" s="14">
        <f>Assumptions!$D$58</f>
        <v/>
      </c>
      <c r="E167" s="14">
        <f>Assumptions!$E$58</f>
        <v/>
      </c>
      <c r="F167" s="14">
        <f>Assumptions!$F$58</f>
        <v/>
      </c>
      <c r="G167" s="14">
        <f>Assumptions!$G$58</f>
        <v/>
      </c>
      <c r="H167" s="14">
        <f>Assumptions!$H$58</f>
        <v/>
      </c>
    </row>
    <row r="168">
      <c r="A168" s="5" t="inlineStr">
        <is>
          <t>Carriers (partner-led): accounts lost = ROUND(prior year-end x churn)</t>
        </is>
      </c>
      <c r="B168" s="14">
        <f>0</f>
        <v/>
      </c>
      <c r="C168" s="14">
        <f>ROUND(B169*Assumptions!$D$45,0)</f>
        <v/>
      </c>
      <c r="D168" s="14">
        <f>ROUND(C169*Assumptions!$D$45,0)</f>
        <v/>
      </c>
      <c r="E168" s="14">
        <f>ROUND(D169*Assumptions!$D$45,0)</f>
        <v/>
      </c>
      <c r="F168" s="14">
        <f>ROUND(E169*Assumptions!$D$45,0)</f>
        <v/>
      </c>
      <c r="G168" s="14">
        <f>ROUND(F169*Assumptions!$D$45,0)</f>
        <v/>
      </c>
      <c r="H168" s="14">
        <f>ROUND(G169*Assumptions!$D$45,0)</f>
        <v/>
      </c>
    </row>
    <row r="169">
      <c r="A169" s="17" t="inlineStr">
        <is>
          <t>Carriers (partner-led): accounts at year end</t>
        </is>
      </c>
      <c r="B169" s="14">
        <f>B167</f>
        <v/>
      </c>
      <c r="C169" s="14">
        <f>B169-C168+C167</f>
        <v/>
      </c>
      <c r="D169" s="14">
        <f>C169-D168+D167</f>
        <v/>
      </c>
      <c r="E169" s="14">
        <f>D169-E168+E167</f>
        <v/>
      </c>
      <c r="F169" s="14">
        <f>E169-F168+F167</f>
        <v/>
      </c>
      <c r="G169" s="14">
        <f>F169-G168+G167</f>
        <v/>
      </c>
      <c r="H169" s="14">
        <f>G169-H168+H167</f>
        <v/>
      </c>
    </row>
    <row r="170">
      <c r="A170" s="5" t="inlineStr">
        <is>
          <t>Carriers (partner-led): average accounts</t>
        </is>
      </c>
      <c r="B170" s="16">
        <f>B169/2</f>
        <v/>
      </c>
      <c r="C170" s="16">
        <f>(B169+C169)/2</f>
        <v/>
      </c>
      <c r="D170" s="16">
        <f>(C169+D169)/2</f>
        <v/>
      </c>
      <c r="E170" s="16">
        <f>(D169+E169)/2</f>
        <v/>
      </c>
      <c r="F170" s="16">
        <f>(E169+F169)/2</f>
        <v/>
      </c>
      <c r="G170" s="16">
        <f>(F169+G169)/2</f>
        <v/>
      </c>
      <c r="H170" s="16">
        <f>(G169+H169)/2</f>
        <v/>
      </c>
    </row>
    <row r="171">
      <c r="A171" s="5" t="inlineStr">
        <is>
          <t>Carriers (partner-led): revenue per account ($K)</t>
        </is>
      </c>
      <c r="B171" s="16">
        <f>Assumptions!$B$41*Assumptions!$B$42*Assumptions!$D$46</f>
        <v/>
      </c>
      <c r="C171" s="16">
        <f>Assumptions!$C$41*Assumptions!$B$42*Assumptions!$D$46</f>
        <v/>
      </c>
      <c r="D171" s="16">
        <f>Assumptions!$D$41*Assumptions!$B$42*Assumptions!$D$46</f>
        <v/>
      </c>
      <c r="E171" s="16">
        <f>Assumptions!$E$41*Assumptions!$B$42*Assumptions!$D$46</f>
        <v/>
      </c>
      <c r="F171" s="16">
        <f>Assumptions!$F$41*Assumptions!$B$42*Assumptions!$D$46</f>
        <v/>
      </c>
      <c r="G171" s="16">
        <f>Assumptions!$G$41*Assumptions!$B$42*Assumptions!$D$46</f>
        <v/>
      </c>
      <c r="H171" s="16">
        <f>Assumptions!$H$41*Assumptions!$B$42*Assumptions!$D$46</f>
        <v/>
      </c>
    </row>
    <row r="172">
      <c r="A172" s="5" t="inlineStr">
        <is>
          <t>Carriers (partner-led): revenue</t>
        </is>
      </c>
      <c r="B172" s="18">
        <f>B170*B171</f>
        <v/>
      </c>
      <c r="C172" s="18">
        <f>C170*C171</f>
        <v/>
      </c>
      <c r="D172" s="18">
        <f>D170*D171</f>
        <v/>
      </c>
      <c r="E172" s="18">
        <f>E170*E171</f>
        <v/>
      </c>
      <c r="F172" s="18">
        <f>F170*F171</f>
        <v/>
      </c>
      <c r="G172" s="18">
        <f>G170*G171</f>
        <v/>
      </c>
      <c r="H172" s="18">
        <f>H170*H171</f>
        <v/>
      </c>
    </row>
    <row r="173">
      <c r="A173" s="5" t="inlineStr">
        <is>
          <t>Carriers (partner-led): ARR at year end</t>
        </is>
      </c>
      <c r="B173" s="18">
        <f>B169*B171</f>
        <v/>
      </c>
      <c r="C173" s="18">
        <f>C169*C171</f>
        <v/>
      </c>
      <c r="D173" s="18">
        <f>D169*D171</f>
        <v/>
      </c>
      <c r="E173" s="18">
        <f>E169*E171</f>
        <v/>
      </c>
      <c r="F173" s="18">
        <f>F169*F171</f>
        <v/>
      </c>
      <c r="G173" s="18">
        <f>G169*G171</f>
        <v/>
      </c>
      <c r="H173" s="18">
        <f>H169*H171</f>
        <v/>
      </c>
    </row>
    <row r="174">
      <c r="A174" s="17" t="inlineStr">
        <is>
          <t>All segments: new accounts won</t>
        </is>
      </c>
      <c r="B174" s="14">
        <f>B153+B160+B167</f>
        <v/>
      </c>
      <c r="C174" s="14">
        <f>C153+C160+C167</f>
        <v/>
      </c>
      <c r="D174" s="14">
        <f>D153+D160+D167</f>
        <v/>
      </c>
      <c r="E174" s="14">
        <f>E153+E160+E167</f>
        <v/>
      </c>
      <c r="F174" s="14">
        <f>F153+F160+F167</f>
        <v/>
      </c>
      <c r="G174" s="14">
        <f>G153+G160+G167</f>
        <v/>
      </c>
      <c r="H174" s="14">
        <f>H153+H160+H167</f>
        <v/>
      </c>
    </row>
    <row r="175">
      <c r="A175" s="5" t="inlineStr">
        <is>
          <t>All segments: accounts lost</t>
        </is>
      </c>
      <c r="B175" s="14">
        <f>B154+B161+B168</f>
        <v/>
      </c>
      <c r="C175" s="14">
        <f>C154+C161+C168</f>
        <v/>
      </c>
      <c r="D175" s="14">
        <f>D154+D161+D168</f>
        <v/>
      </c>
      <c r="E175" s="14">
        <f>E154+E161+E168</f>
        <v/>
      </c>
      <c r="F175" s="14">
        <f>F154+F161+F168</f>
        <v/>
      </c>
      <c r="G175" s="14">
        <f>G154+G161+G168</f>
        <v/>
      </c>
      <c r="H175" s="14">
        <f>H154+H161+H168</f>
        <v/>
      </c>
    </row>
    <row r="176">
      <c r="A176" s="17" t="inlineStr">
        <is>
          <t>All segments: paying accounts at year end</t>
        </is>
      </c>
      <c r="B176" s="14">
        <f>B155+B162+B169</f>
        <v/>
      </c>
      <c r="C176" s="14">
        <f>C155+C162+C169</f>
        <v/>
      </c>
      <c r="D176" s="14">
        <f>D155+D162+D169</f>
        <v/>
      </c>
      <c r="E176" s="14">
        <f>E155+E162+E169</f>
        <v/>
      </c>
      <c r="F176" s="14">
        <f>F155+F162+F169</f>
        <v/>
      </c>
      <c r="G176" s="14">
        <f>G155+G162+G169</f>
        <v/>
      </c>
      <c r="H176" s="14">
        <f>H155+H162+H169</f>
        <v/>
      </c>
    </row>
    <row r="177">
      <c r="A177" s="5" t="inlineStr">
        <is>
          <t>All segments: average paying accounts</t>
        </is>
      </c>
      <c r="B177" s="16">
        <f>B156+B163+B170</f>
        <v/>
      </c>
      <c r="C177" s="16">
        <f>C156+C163+C170</f>
        <v/>
      </c>
      <c r="D177" s="16">
        <f>D156+D163+D170</f>
        <v/>
      </c>
      <c r="E177" s="16">
        <f>E156+E163+E170</f>
        <v/>
      </c>
      <c r="F177" s="16">
        <f>F156+F163+F170</f>
        <v/>
      </c>
      <c r="G177" s="16">
        <f>G156+G163+G170</f>
        <v/>
      </c>
      <c r="H177" s="16">
        <f>H156+H163+H170</f>
        <v/>
      </c>
    </row>
    <row r="178">
      <c r="A178" s="17" t="inlineStr">
        <is>
          <t>Total revenue</t>
        </is>
      </c>
      <c r="B178" s="18">
        <f>B158+B165+B172</f>
        <v/>
      </c>
      <c r="C178" s="18">
        <f>C158+C165+C172</f>
        <v/>
      </c>
      <c r="D178" s="18">
        <f>D158+D165+D172</f>
        <v/>
      </c>
      <c r="E178" s="18">
        <f>E158+E165+E172</f>
        <v/>
      </c>
      <c r="F178" s="18">
        <f>F158+F165+F172</f>
        <v/>
      </c>
      <c r="G178" s="18">
        <f>G158+G165+G172</f>
        <v/>
      </c>
      <c r="H178" s="18">
        <f>H158+H165+H172</f>
        <v/>
      </c>
    </row>
    <row r="179">
      <c r="A179" s="17" t="inlineStr">
        <is>
          <t>ARR at year end</t>
        </is>
      </c>
      <c r="B179" s="18">
        <f>B159+B166+B173</f>
        <v/>
      </c>
      <c r="C179" s="18">
        <f>C159+C166+C173</f>
        <v/>
      </c>
      <c r="D179" s="18">
        <f>D159+D166+D173</f>
        <v/>
      </c>
      <c r="E179" s="18">
        <f>E159+E166+E173</f>
        <v/>
      </c>
      <c r="F179" s="18">
        <f>F159+F166+F173</f>
        <v/>
      </c>
      <c r="G179" s="18">
        <f>G159+G166+G173</f>
        <v/>
      </c>
      <c r="H179" s="18">
        <f>H159+H166+H173</f>
        <v/>
      </c>
    </row>
    <row r="180">
      <c r="A180" s="17" t="inlineStr">
        <is>
          <t>Blended revenue per account = ARR / accounts ($K)</t>
        </is>
      </c>
      <c r="B180" s="16">
        <f>IF(B176=0,0,B179/B176)</f>
        <v/>
      </c>
      <c r="C180" s="16">
        <f>IF(C176=0,0,C179/C176)</f>
        <v/>
      </c>
      <c r="D180" s="16">
        <f>IF(D176=0,0,D179/D176)</f>
        <v/>
      </c>
      <c r="E180" s="16">
        <f>IF(E176=0,0,E179/E176)</f>
        <v/>
      </c>
      <c r="F180" s="16">
        <f>IF(F176=0,0,F179/F176)</f>
        <v/>
      </c>
      <c r="G180" s="16">
        <f>IF(G176=0,0,G179/G176)</f>
        <v/>
      </c>
      <c r="H180" s="16">
        <f>IF(H176=0,0,H179/H176)</f>
        <v/>
      </c>
    </row>
    <row r="181">
      <c r="A181" s="5" t="inlineStr">
        <is>
          <t xml:space="preserve">  Founder / CEO</t>
        </is>
      </c>
      <c r="B181" s="14">
        <f>Assumptions!$B$61</f>
        <v/>
      </c>
      <c r="C181" s="14">
        <f>IF(AND(Assumptions!$D$48&gt;0,Assumptions!$C$6&gt;=Assumptions!$D$48,Assumptions!$C$6&lt;Assumptions!$D$48+Assumptions!$D$49),B181,Assumptions!$C$61)</f>
        <v/>
      </c>
      <c r="D181" s="14">
        <f>IF(AND(Assumptions!$D$48&gt;0,Assumptions!$D$6&gt;=Assumptions!$D$48,Assumptions!$D$6&lt;Assumptions!$D$48+Assumptions!$D$49),C181,Assumptions!$D$61)</f>
        <v/>
      </c>
      <c r="E181" s="14">
        <f>IF(AND(Assumptions!$D$48&gt;0,Assumptions!$E$6&gt;=Assumptions!$D$48,Assumptions!$E$6&lt;Assumptions!$D$48+Assumptions!$D$49),D181,Assumptions!$E$61)</f>
        <v/>
      </c>
      <c r="F181" s="14">
        <f>IF(AND(Assumptions!$D$48&gt;0,Assumptions!$F$6&gt;=Assumptions!$D$48,Assumptions!$F$6&lt;Assumptions!$D$48+Assumptions!$D$49),E181,Assumptions!$F$61)</f>
        <v/>
      </c>
      <c r="G181" s="14">
        <f>IF(AND(Assumptions!$D$48&gt;0,Assumptions!$G$6&gt;=Assumptions!$D$48,Assumptions!$G$6&lt;Assumptions!$D$48+Assumptions!$D$49),F181,Assumptions!$G$61)</f>
        <v/>
      </c>
      <c r="H181" s="14">
        <f>IF(AND(Assumptions!$D$48&gt;0,Assumptions!$H$6&gt;=Assumptions!$D$48,Assumptions!$H$6&lt;Assumptions!$D$48+Assumptions!$D$49),G181,Assumptions!$H$61)</f>
        <v/>
      </c>
    </row>
    <row r="182">
      <c r="A182" s="5" t="inlineStr">
        <is>
          <t xml:space="preserve">  Software engineers</t>
        </is>
      </c>
      <c r="B182" s="14">
        <f>ROUND(Assumptions!$B$65*Assumptions!$D$47,0)</f>
        <v/>
      </c>
      <c r="C182" s="14">
        <f>IF(AND(Assumptions!$D$48&gt;0,Assumptions!$C$6&gt;=Assumptions!$D$48,Assumptions!$C$6&lt;Assumptions!$D$48+Assumptions!$D$49),B182,ROUND(Assumptions!$C$65*Assumptions!$D$47,0))</f>
        <v/>
      </c>
      <c r="D182" s="14">
        <f>IF(AND(Assumptions!$D$48&gt;0,Assumptions!$D$6&gt;=Assumptions!$D$48,Assumptions!$D$6&lt;Assumptions!$D$48+Assumptions!$D$49),C182,ROUND(Assumptions!$D$65*Assumptions!$D$47,0))</f>
        <v/>
      </c>
      <c r="E182" s="14">
        <f>IF(AND(Assumptions!$D$48&gt;0,Assumptions!$E$6&gt;=Assumptions!$D$48,Assumptions!$E$6&lt;Assumptions!$D$48+Assumptions!$D$49),D182,ROUND(Assumptions!$E$65*Assumptions!$D$47,0))</f>
        <v/>
      </c>
      <c r="F182" s="14">
        <f>IF(AND(Assumptions!$D$48&gt;0,Assumptions!$F$6&gt;=Assumptions!$D$48,Assumptions!$F$6&lt;Assumptions!$D$48+Assumptions!$D$49),E182,ROUND(Assumptions!$F$65*Assumptions!$D$47,0))</f>
        <v/>
      </c>
      <c r="G182" s="14">
        <f>IF(AND(Assumptions!$D$48&gt;0,Assumptions!$G$6&gt;=Assumptions!$D$48,Assumptions!$G$6&lt;Assumptions!$D$48+Assumptions!$D$49),F182,ROUND(Assumptions!$G$65*Assumptions!$D$47,0))</f>
        <v/>
      </c>
      <c r="H182" s="14">
        <f>IF(AND(Assumptions!$D$48&gt;0,Assumptions!$H$6&gt;=Assumptions!$D$48,Assumptions!$H$6&lt;Assumptions!$D$48+Assumptions!$D$49),G182,ROUND(Assumptions!$H$65*Assumptions!$D$47,0))</f>
        <v/>
      </c>
    </row>
    <row r="183">
      <c r="A183" s="5" t="inlineStr">
        <is>
          <t xml:space="preserve">  ML / data engineers</t>
        </is>
      </c>
      <c r="B183" s="14">
        <f>ROUND(Assumptions!$B$69*Assumptions!$D$47,0)</f>
        <v/>
      </c>
      <c r="C183" s="14">
        <f>IF(AND(Assumptions!$D$48&gt;0,Assumptions!$C$6&gt;=Assumptions!$D$48,Assumptions!$C$6&lt;Assumptions!$D$48+Assumptions!$D$49),B183,ROUND(Assumptions!$C$69*Assumptions!$D$47,0))</f>
        <v/>
      </c>
      <c r="D183" s="14">
        <f>IF(AND(Assumptions!$D$48&gt;0,Assumptions!$D$6&gt;=Assumptions!$D$48,Assumptions!$D$6&lt;Assumptions!$D$48+Assumptions!$D$49),C183,ROUND(Assumptions!$D$69*Assumptions!$D$47,0))</f>
        <v/>
      </c>
      <c r="E183" s="14">
        <f>IF(AND(Assumptions!$D$48&gt;0,Assumptions!$E$6&gt;=Assumptions!$D$48,Assumptions!$E$6&lt;Assumptions!$D$48+Assumptions!$D$49),D183,ROUND(Assumptions!$E$69*Assumptions!$D$47,0))</f>
        <v/>
      </c>
      <c r="F183" s="14">
        <f>IF(AND(Assumptions!$D$48&gt;0,Assumptions!$F$6&gt;=Assumptions!$D$48,Assumptions!$F$6&lt;Assumptions!$D$48+Assumptions!$D$49),E183,ROUND(Assumptions!$F$69*Assumptions!$D$47,0))</f>
        <v/>
      </c>
      <c r="G183" s="14">
        <f>IF(AND(Assumptions!$D$48&gt;0,Assumptions!$G$6&gt;=Assumptions!$D$48,Assumptions!$G$6&lt;Assumptions!$D$48+Assumptions!$D$49),F183,ROUND(Assumptions!$G$69*Assumptions!$D$47,0))</f>
        <v/>
      </c>
      <c r="H183" s="14">
        <f>IF(AND(Assumptions!$D$48&gt;0,Assumptions!$H$6&gt;=Assumptions!$D$48,Assumptions!$H$6&lt;Assumptions!$D$48+Assumptions!$D$49),G183,ROUND(Assumptions!$H$69*Assumptions!$D$47,0))</f>
        <v/>
      </c>
    </row>
    <row r="184">
      <c r="A184" s="5" t="inlineStr">
        <is>
          <t xml:space="preserve">  Security engineer</t>
        </is>
      </c>
      <c r="B184" s="14">
        <f>ROUND(Assumptions!$B$73*Assumptions!$D$47,0)</f>
        <v/>
      </c>
      <c r="C184" s="14">
        <f>IF(AND(Assumptions!$D$48&gt;0,Assumptions!$C$6&gt;=Assumptions!$D$48,Assumptions!$C$6&lt;Assumptions!$D$48+Assumptions!$D$49),B184,ROUND(Assumptions!$C$73*Assumptions!$D$47,0))</f>
        <v/>
      </c>
      <c r="D184" s="14">
        <f>IF(AND(Assumptions!$D$48&gt;0,Assumptions!$D$6&gt;=Assumptions!$D$48,Assumptions!$D$6&lt;Assumptions!$D$48+Assumptions!$D$49),C184,ROUND(Assumptions!$D$73*Assumptions!$D$47,0))</f>
        <v/>
      </c>
      <c r="E184" s="14">
        <f>IF(AND(Assumptions!$D$48&gt;0,Assumptions!$E$6&gt;=Assumptions!$D$48,Assumptions!$E$6&lt;Assumptions!$D$48+Assumptions!$D$49),D184,ROUND(Assumptions!$E$73*Assumptions!$D$47,0))</f>
        <v/>
      </c>
      <c r="F184" s="14">
        <f>IF(AND(Assumptions!$D$48&gt;0,Assumptions!$F$6&gt;=Assumptions!$D$48,Assumptions!$F$6&lt;Assumptions!$D$48+Assumptions!$D$49),E184,ROUND(Assumptions!$F$73*Assumptions!$D$47,0))</f>
        <v/>
      </c>
      <c r="G184" s="14">
        <f>IF(AND(Assumptions!$D$48&gt;0,Assumptions!$G$6&gt;=Assumptions!$D$48,Assumptions!$G$6&lt;Assumptions!$D$48+Assumptions!$D$49),F184,ROUND(Assumptions!$G$73*Assumptions!$D$47,0))</f>
        <v/>
      </c>
      <c r="H184" s="14">
        <f>IF(AND(Assumptions!$D$48&gt;0,Assumptions!$H$6&gt;=Assumptions!$D$48,Assumptions!$H$6&lt;Assumptions!$D$48+Assumptions!$D$49),G184,ROUND(Assumptions!$H$73*Assumptions!$D$47,0))</f>
        <v/>
      </c>
    </row>
    <row r="185">
      <c r="A185" s="5" t="inlineStr">
        <is>
          <t xml:space="preserve">  Account executives (US)</t>
        </is>
      </c>
      <c r="B185" s="14">
        <f>ROUND(Assumptions!$B$77*Assumptions!$D$47,0)</f>
        <v/>
      </c>
      <c r="C185" s="14">
        <f>IF(AND(Assumptions!$D$48&gt;0,Assumptions!$C$6&gt;=Assumptions!$D$48,Assumptions!$C$6&lt;Assumptions!$D$48+Assumptions!$D$49),B185,ROUND(Assumptions!$C$77*Assumptions!$D$47,0))</f>
        <v/>
      </c>
      <c r="D185" s="14">
        <f>IF(AND(Assumptions!$D$48&gt;0,Assumptions!$D$6&gt;=Assumptions!$D$48,Assumptions!$D$6&lt;Assumptions!$D$48+Assumptions!$D$49),C185,ROUND(Assumptions!$D$77*Assumptions!$D$47,0))</f>
        <v/>
      </c>
      <c r="E185" s="14">
        <f>IF(AND(Assumptions!$D$48&gt;0,Assumptions!$E$6&gt;=Assumptions!$D$48,Assumptions!$E$6&lt;Assumptions!$D$48+Assumptions!$D$49),D185,ROUND(Assumptions!$E$77*Assumptions!$D$47,0))</f>
        <v/>
      </c>
      <c r="F185" s="14">
        <f>IF(AND(Assumptions!$D$48&gt;0,Assumptions!$F$6&gt;=Assumptions!$D$48,Assumptions!$F$6&lt;Assumptions!$D$48+Assumptions!$D$49),E185,ROUND(Assumptions!$F$77*Assumptions!$D$47,0))</f>
        <v/>
      </c>
      <c r="G185" s="14">
        <f>IF(AND(Assumptions!$D$48&gt;0,Assumptions!$G$6&gt;=Assumptions!$D$48,Assumptions!$G$6&lt;Assumptions!$D$48+Assumptions!$D$49),F185,ROUND(Assumptions!$G$77*Assumptions!$D$47,0))</f>
        <v/>
      </c>
      <c r="H185" s="14">
        <f>IF(AND(Assumptions!$D$48&gt;0,Assumptions!$H$6&gt;=Assumptions!$D$48,Assumptions!$H$6&lt;Assumptions!$D$48+Assumptions!$D$49),G185,ROUND(Assumptions!$H$77*Assumptions!$D$47,0))</f>
        <v/>
      </c>
    </row>
    <row r="186">
      <c r="A186" s="5" t="inlineStr">
        <is>
          <t xml:space="preserve">  Sales engineer (US)</t>
        </is>
      </c>
      <c r="B186" s="14">
        <f>ROUND(Assumptions!$B$81*Assumptions!$D$47,0)</f>
        <v/>
      </c>
      <c r="C186" s="14">
        <f>IF(AND(Assumptions!$D$48&gt;0,Assumptions!$C$6&gt;=Assumptions!$D$48,Assumptions!$C$6&lt;Assumptions!$D$48+Assumptions!$D$49),B186,ROUND(Assumptions!$C$81*Assumptions!$D$47,0))</f>
        <v/>
      </c>
      <c r="D186" s="14">
        <f>IF(AND(Assumptions!$D$48&gt;0,Assumptions!$D$6&gt;=Assumptions!$D$48,Assumptions!$D$6&lt;Assumptions!$D$48+Assumptions!$D$49),C186,ROUND(Assumptions!$D$81*Assumptions!$D$47,0))</f>
        <v/>
      </c>
      <c r="E186" s="14">
        <f>IF(AND(Assumptions!$D$48&gt;0,Assumptions!$E$6&gt;=Assumptions!$D$48,Assumptions!$E$6&lt;Assumptions!$D$48+Assumptions!$D$49),D186,ROUND(Assumptions!$E$81*Assumptions!$D$47,0))</f>
        <v/>
      </c>
      <c r="F186" s="14">
        <f>IF(AND(Assumptions!$D$48&gt;0,Assumptions!$F$6&gt;=Assumptions!$D$48,Assumptions!$F$6&lt;Assumptions!$D$48+Assumptions!$D$49),E186,ROUND(Assumptions!$F$81*Assumptions!$D$47,0))</f>
        <v/>
      </c>
      <c r="G186" s="14">
        <f>IF(AND(Assumptions!$D$48&gt;0,Assumptions!$G$6&gt;=Assumptions!$D$48,Assumptions!$G$6&lt;Assumptions!$D$48+Assumptions!$D$49),F186,ROUND(Assumptions!$G$81*Assumptions!$D$47,0))</f>
        <v/>
      </c>
      <c r="H186" s="14">
        <f>IF(AND(Assumptions!$D$48&gt;0,Assumptions!$H$6&gt;=Assumptions!$D$48,Assumptions!$H$6&lt;Assumptions!$D$48+Assumptions!$D$49),G186,ROUND(Assumptions!$H$81*Assumptions!$D$47,0))</f>
        <v/>
      </c>
    </row>
    <row r="187">
      <c r="A187" s="5" t="inlineStr">
        <is>
          <t xml:space="preserve">  Claims analysts / customer success (US)</t>
        </is>
      </c>
      <c r="B187" s="14">
        <f>ROUND(Assumptions!$B$85*Assumptions!$D$47,0)</f>
        <v/>
      </c>
      <c r="C187" s="14">
        <f>IF(AND(Assumptions!$D$48&gt;0,Assumptions!$C$6&gt;=Assumptions!$D$48,Assumptions!$C$6&lt;Assumptions!$D$48+Assumptions!$D$49),B187,ROUND(Assumptions!$C$85*Assumptions!$D$47,0))</f>
        <v/>
      </c>
      <c r="D187" s="14">
        <f>IF(AND(Assumptions!$D$48&gt;0,Assumptions!$D$6&gt;=Assumptions!$D$48,Assumptions!$D$6&lt;Assumptions!$D$48+Assumptions!$D$49),C187,ROUND(Assumptions!$D$85*Assumptions!$D$47,0))</f>
        <v/>
      </c>
      <c r="E187" s="14">
        <f>IF(AND(Assumptions!$D$48&gt;0,Assumptions!$E$6&gt;=Assumptions!$D$48,Assumptions!$E$6&lt;Assumptions!$D$48+Assumptions!$D$49),D187,ROUND(Assumptions!$E$85*Assumptions!$D$47,0))</f>
        <v/>
      </c>
      <c r="F187" s="14">
        <f>IF(AND(Assumptions!$D$48&gt;0,Assumptions!$F$6&gt;=Assumptions!$D$48,Assumptions!$F$6&lt;Assumptions!$D$48+Assumptions!$D$49),E187,ROUND(Assumptions!$F$85*Assumptions!$D$47,0))</f>
        <v/>
      </c>
      <c r="G187" s="14">
        <f>IF(AND(Assumptions!$D$48&gt;0,Assumptions!$G$6&gt;=Assumptions!$D$48,Assumptions!$G$6&lt;Assumptions!$D$48+Assumptions!$D$49),F187,ROUND(Assumptions!$G$85*Assumptions!$D$47,0))</f>
        <v/>
      </c>
      <c r="H187" s="14">
        <f>IF(AND(Assumptions!$D$48&gt;0,Assumptions!$H$6&gt;=Assumptions!$D$48,Assumptions!$H$6&lt;Assumptions!$D$48+Assumptions!$D$49),G187,ROUND(Assumptions!$H$85*Assumptions!$D$47,0))</f>
        <v/>
      </c>
    </row>
    <row r="188">
      <c r="A188" s="5" t="inlineStr">
        <is>
          <t xml:space="preserve">  Marketing (US)</t>
        </is>
      </c>
      <c r="B188" s="14">
        <f>ROUND(Assumptions!$B$89*Assumptions!$D$47,0)</f>
        <v/>
      </c>
      <c r="C188" s="14">
        <f>IF(AND(Assumptions!$D$48&gt;0,Assumptions!$C$6&gt;=Assumptions!$D$48,Assumptions!$C$6&lt;Assumptions!$D$48+Assumptions!$D$49),B188,ROUND(Assumptions!$C$89*Assumptions!$D$47,0))</f>
        <v/>
      </c>
      <c r="D188" s="14">
        <f>IF(AND(Assumptions!$D$48&gt;0,Assumptions!$D$6&gt;=Assumptions!$D$48,Assumptions!$D$6&lt;Assumptions!$D$48+Assumptions!$D$49),C188,ROUND(Assumptions!$D$89*Assumptions!$D$47,0))</f>
        <v/>
      </c>
      <c r="E188" s="14">
        <f>IF(AND(Assumptions!$D$48&gt;0,Assumptions!$E$6&gt;=Assumptions!$D$48,Assumptions!$E$6&lt;Assumptions!$D$48+Assumptions!$D$49),D188,ROUND(Assumptions!$E$89*Assumptions!$D$47,0))</f>
        <v/>
      </c>
      <c r="F188" s="14">
        <f>IF(AND(Assumptions!$D$48&gt;0,Assumptions!$F$6&gt;=Assumptions!$D$48,Assumptions!$F$6&lt;Assumptions!$D$48+Assumptions!$D$49),E188,ROUND(Assumptions!$F$89*Assumptions!$D$47,0))</f>
        <v/>
      </c>
      <c r="G188" s="14">
        <f>IF(AND(Assumptions!$D$48&gt;0,Assumptions!$G$6&gt;=Assumptions!$D$48,Assumptions!$G$6&lt;Assumptions!$D$48+Assumptions!$D$49),F188,ROUND(Assumptions!$G$89*Assumptions!$D$47,0))</f>
        <v/>
      </c>
      <c r="H188" s="14">
        <f>IF(AND(Assumptions!$D$48&gt;0,Assumptions!$H$6&gt;=Assumptions!$D$48,Assumptions!$H$6&lt;Assumptions!$D$48+Assumptions!$D$49),G188,ROUND(Assumptions!$H$89*Assumptions!$D$47,0))</f>
        <v/>
      </c>
    </row>
    <row r="189">
      <c r="A189" s="5" t="inlineStr">
        <is>
          <t xml:space="preserve">  Finance, legal operations, people</t>
        </is>
      </c>
      <c r="B189" s="14">
        <f>ROUND(Assumptions!$B$93*Assumptions!$D$47,0)</f>
        <v/>
      </c>
      <c r="C189" s="14">
        <f>IF(AND(Assumptions!$D$48&gt;0,Assumptions!$C$6&gt;=Assumptions!$D$48,Assumptions!$C$6&lt;Assumptions!$D$48+Assumptions!$D$49),B189,ROUND(Assumptions!$C$93*Assumptions!$D$47,0))</f>
        <v/>
      </c>
      <c r="D189" s="14">
        <f>IF(AND(Assumptions!$D$48&gt;0,Assumptions!$D$6&gt;=Assumptions!$D$48,Assumptions!$D$6&lt;Assumptions!$D$48+Assumptions!$D$49),C189,ROUND(Assumptions!$D$93*Assumptions!$D$47,0))</f>
        <v/>
      </c>
      <c r="E189" s="14">
        <f>IF(AND(Assumptions!$D$48&gt;0,Assumptions!$E$6&gt;=Assumptions!$D$48,Assumptions!$E$6&lt;Assumptions!$D$48+Assumptions!$D$49),D189,ROUND(Assumptions!$E$93*Assumptions!$D$47,0))</f>
        <v/>
      </c>
      <c r="F189" s="14">
        <f>IF(AND(Assumptions!$D$48&gt;0,Assumptions!$F$6&gt;=Assumptions!$D$48,Assumptions!$F$6&lt;Assumptions!$D$48+Assumptions!$D$49),E189,ROUND(Assumptions!$F$93*Assumptions!$D$47,0))</f>
        <v/>
      </c>
      <c r="G189" s="14">
        <f>IF(AND(Assumptions!$D$48&gt;0,Assumptions!$G$6&gt;=Assumptions!$D$48,Assumptions!$G$6&lt;Assumptions!$D$48+Assumptions!$D$49),F189,ROUND(Assumptions!$G$93*Assumptions!$D$47,0))</f>
        <v/>
      </c>
      <c r="H189" s="14">
        <f>IF(AND(Assumptions!$D$48&gt;0,Assumptions!$H$6&gt;=Assumptions!$D$48,Assumptions!$H$6&lt;Assumptions!$D$48+Assumptions!$D$49),G189,ROUND(Assumptions!$H$93*Assumptions!$D$47,0))</f>
        <v/>
      </c>
    </row>
    <row r="190">
      <c r="A190" s="17" t="inlineStr">
        <is>
          <t>Headcount at year end</t>
        </is>
      </c>
      <c r="B190" s="14">
        <f>SUM(B181:B189)</f>
        <v/>
      </c>
      <c r="C190" s="14">
        <f>SUM(C181:C189)</f>
        <v/>
      </c>
      <c r="D190" s="14">
        <f>SUM(D181:D189)</f>
        <v/>
      </c>
      <c r="E190" s="14">
        <f>SUM(E181:E189)</f>
        <v/>
      </c>
      <c r="F190" s="14">
        <f>SUM(F181:F189)</f>
        <v/>
      </c>
      <c r="G190" s="14">
        <f>SUM(G181:G189)</f>
        <v/>
      </c>
      <c r="H190" s="14">
        <f>SUM(H181:H189)</f>
        <v/>
      </c>
    </row>
    <row r="191">
      <c r="A191" s="5" t="inlineStr">
        <is>
          <t>Claims operations people cost</t>
        </is>
      </c>
      <c r="B191" s="18">
        <f>(B187*(5-Assumptions!$B$87)/4*Assumptions!$B$88)*(1+Assumptions!$B$8)^(Assumptions!$B$6-1)</f>
        <v/>
      </c>
      <c r="C191" s="18">
        <f>((B187+C187)/2*Assumptions!$B$88)*(1+Assumptions!$B$8)^(Assumptions!$C$6-1)</f>
        <v/>
      </c>
      <c r="D191" s="18">
        <f>((C187+D187)/2*Assumptions!$B$88)*(1+Assumptions!$B$8)^(Assumptions!$D$6-1)</f>
        <v/>
      </c>
      <c r="E191" s="18">
        <f>((D187+E187)/2*Assumptions!$B$88)*(1+Assumptions!$B$8)^(Assumptions!$E$6-1)</f>
        <v/>
      </c>
      <c r="F191" s="18">
        <f>((E187+F187)/2*Assumptions!$B$88)*(1+Assumptions!$B$8)^(Assumptions!$F$6-1)</f>
        <v/>
      </c>
      <c r="G191" s="18">
        <f>((F187+G187)/2*Assumptions!$B$88)*(1+Assumptions!$B$8)^(Assumptions!$G$6-1)</f>
        <v/>
      </c>
      <c r="H191" s="18">
        <f>((G187+H187)/2*Assumptions!$B$88)*(1+Assumptions!$B$8)^(Assumptions!$H$6-1)</f>
        <v/>
      </c>
    </row>
    <row r="192">
      <c r="A192" s="5" t="inlineStr">
        <is>
          <t>Other people cost</t>
        </is>
      </c>
      <c r="B192" s="18">
        <f>(B181*(5-Assumptions!$B$63)/4*Assumptions!$B$64+B182*(5-Assumptions!$B$67)/4*Assumptions!$B$68+B183*(5-Assumptions!$B$71)/4*Assumptions!$B$72+B184*(5-Assumptions!$B$75)/4*Assumptions!$B$76+B185*(5-Assumptions!$B$79)/4*Assumptions!$B$80+B186*(5-Assumptions!$B$83)/4*Assumptions!$B$84+B188*(5-Assumptions!$B$91)/4*Assumptions!$B$92+B189*(5-Assumptions!$B$95)/4*Assumptions!$B$96)*(1+Assumptions!$B$8)^(Assumptions!$B$6-1)</f>
        <v/>
      </c>
      <c r="C192" s="18">
        <f>((B181+C181)/2*Assumptions!$B$64+(B182+C182)/2*Assumptions!$B$68+(B183+C183)/2*Assumptions!$B$72+(B184+C184)/2*Assumptions!$B$76+(B185+C185)/2*Assumptions!$B$80+(B186+C186)/2*Assumptions!$B$84+(B188+C188)/2*Assumptions!$B$92+(B189+C189)/2*Assumptions!$B$96)*(1+Assumptions!$B$8)^(Assumptions!$C$6-1)</f>
        <v/>
      </c>
      <c r="D192" s="18">
        <f>((C181+D181)/2*Assumptions!$B$64+(C182+D182)/2*Assumptions!$B$68+(C183+D183)/2*Assumptions!$B$72+(C184+D184)/2*Assumptions!$B$76+(C185+D185)/2*Assumptions!$B$80+(C186+D186)/2*Assumptions!$B$84+(C188+D188)/2*Assumptions!$B$92+(C189+D189)/2*Assumptions!$B$96)*(1+Assumptions!$B$8)^(Assumptions!$D$6-1)</f>
        <v/>
      </c>
      <c r="E192" s="18">
        <f>((D181+E181)/2*Assumptions!$B$64+(D182+E182)/2*Assumptions!$B$68+(D183+E183)/2*Assumptions!$B$72+(D184+E184)/2*Assumptions!$B$76+(D185+E185)/2*Assumptions!$B$80+(D186+E186)/2*Assumptions!$B$84+(D188+E188)/2*Assumptions!$B$92+(D189+E189)/2*Assumptions!$B$96)*(1+Assumptions!$B$8)^(Assumptions!$E$6-1)</f>
        <v/>
      </c>
      <c r="F192" s="18">
        <f>((E181+F181)/2*Assumptions!$B$64+(E182+F182)/2*Assumptions!$B$68+(E183+F183)/2*Assumptions!$B$72+(E184+F184)/2*Assumptions!$B$76+(E185+F185)/2*Assumptions!$B$80+(E186+F186)/2*Assumptions!$B$84+(E188+F188)/2*Assumptions!$B$92+(E189+F189)/2*Assumptions!$B$96)*(1+Assumptions!$B$8)^(Assumptions!$F$6-1)</f>
        <v/>
      </c>
      <c r="G192" s="18">
        <f>((F181+G181)/2*Assumptions!$B$64+(F182+G182)/2*Assumptions!$B$68+(F183+G183)/2*Assumptions!$B$72+(F184+G184)/2*Assumptions!$B$76+(F185+G185)/2*Assumptions!$B$80+(F186+G186)/2*Assumptions!$B$84+(F188+G188)/2*Assumptions!$B$92+(F189+G189)/2*Assumptions!$B$96)*(1+Assumptions!$B$8)^(Assumptions!$G$6-1)</f>
        <v/>
      </c>
      <c r="H192" s="18">
        <f>((G181+H181)/2*Assumptions!$B$64+(G182+H182)/2*Assumptions!$B$68+(G183+H183)/2*Assumptions!$B$72+(G184+H184)/2*Assumptions!$B$76+(G185+H185)/2*Assumptions!$B$80+(G186+H186)/2*Assumptions!$B$84+(G188+H188)/2*Assumptions!$B$92+(G189+H189)/2*Assumptions!$B$96)*(1+Assumptions!$B$8)^(Assumptions!$H$6-1)</f>
        <v/>
      </c>
    </row>
    <row r="193">
      <c r="A193" s="5" t="inlineStr">
        <is>
          <t xml:space="preserve">  Cloud hosting, data feeds and tooling</t>
        </is>
      </c>
      <c r="B193" s="18">
        <f>Assumptions!$B$98</f>
        <v/>
      </c>
      <c r="C193" s="18">
        <f>IF(AND(Assumptions!$D$48&gt;0,Assumptions!$C$6&gt;=Assumptions!$D$48,Assumptions!$C$6&lt;Assumptions!$D$48+Assumptions!$D$49),B193,Assumptions!$C$98*Assumptions!$D$47)</f>
        <v/>
      </c>
      <c r="D193" s="18">
        <f>IF(AND(Assumptions!$D$48&gt;0,Assumptions!$D$6&gt;=Assumptions!$D$48,Assumptions!$D$6&lt;Assumptions!$D$48+Assumptions!$D$49),C193,Assumptions!$D$98*Assumptions!$D$47)</f>
        <v/>
      </c>
      <c r="E193" s="18">
        <f>IF(AND(Assumptions!$D$48&gt;0,Assumptions!$E$6&gt;=Assumptions!$D$48,Assumptions!$E$6&lt;Assumptions!$D$48+Assumptions!$D$49),D193,Assumptions!$E$98*Assumptions!$D$47)</f>
        <v/>
      </c>
      <c r="F193" s="18">
        <f>IF(AND(Assumptions!$D$48&gt;0,Assumptions!$F$6&gt;=Assumptions!$D$48,Assumptions!$F$6&lt;Assumptions!$D$48+Assumptions!$D$49),E193,Assumptions!$F$98*Assumptions!$D$47)</f>
        <v/>
      </c>
      <c r="G193" s="18">
        <f>IF(AND(Assumptions!$D$48&gt;0,Assumptions!$G$6&gt;=Assumptions!$D$48,Assumptions!$G$6&lt;Assumptions!$D$48+Assumptions!$D$49),F193,Assumptions!$G$98*Assumptions!$D$47)</f>
        <v/>
      </c>
      <c r="H193" s="18">
        <f>IF(AND(Assumptions!$D$48&gt;0,Assumptions!$H$6&gt;=Assumptions!$D$48,Assumptions!$H$6&lt;Assumptions!$D$48+Assumptions!$D$49),G193,Assumptions!$H$98*Assumptions!$D$47)</f>
        <v/>
      </c>
    </row>
    <row r="194">
      <c r="A194" s="5" t="inlineStr">
        <is>
          <t xml:space="preserve">  Security programme (SOC 2, pen tests, tooling, insurance)</t>
        </is>
      </c>
      <c r="B194" s="18">
        <f>Assumptions!$B$99</f>
        <v/>
      </c>
      <c r="C194" s="18">
        <f>IF(AND(Assumptions!$D$48&gt;0,Assumptions!$C$6&gt;=Assumptions!$D$48,Assumptions!$C$6&lt;Assumptions!$D$48+Assumptions!$D$49),B194,Assumptions!$C$99*Assumptions!$D$47)</f>
        <v/>
      </c>
      <c r="D194" s="18">
        <f>IF(AND(Assumptions!$D$48&gt;0,Assumptions!$D$6&gt;=Assumptions!$D$48,Assumptions!$D$6&lt;Assumptions!$D$48+Assumptions!$D$49),C194,Assumptions!$D$99*Assumptions!$D$47)</f>
        <v/>
      </c>
      <c r="E194" s="18">
        <f>IF(AND(Assumptions!$D$48&gt;0,Assumptions!$E$6&gt;=Assumptions!$D$48,Assumptions!$E$6&lt;Assumptions!$D$48+Assumptions!$D$49),D194,Assumptions!$E$99*Assumptions!$D$47)</f>
        <v/>
      </c>
      <c r="F194" s="18">
        <f>IF(AND(Assumptions!$D$48&gt;0,Assumptions!$F$6&gt;=Assumptions!$D$48,Assumptions!$F$6&lt;Assumptions!$D$48+Assumptions!$D$49),E194,Assumptions!$F$99*Assumptions!$D$47)</f>
        <v/>
      </c>
      <c r="G194" s="18">
        <f>IF(AND(Assumptions!$D$48&gt;0,Assumptions!$G$6&gt;=Assumptions!$D$48,Assumptions!$G$6&lt;Assumptions!$D$48+Assumptions!$D$49),F194,Assumptions!$G$99*Assumptions!$D$47)</f>
        <v/>
      </c>
      <c r="H194" s="18">
        <f>IF(AND(Assumptions!$D$48&gt;0,Assumptions!$H$6&gt;=Assumptions!$D$48,Assumptions!$H$6&lt;Assumptions!$D$48+Assumptions!$D$49),G194,Assumptions!$H$99*Assumptions!$D$47)</f>
        <v/>
      </c>
    </row>
    <row r="195">
      <c r="A195" s="5" t="inlineStr">
        <is>
          <t xml:space="preserve">  Legal and regulatory</t>
        </is>
      </c>
      <c r="B195" s="18">
        <f>Assumptions!$B$100</f>
        <v/>
      </c>
      <c r="C195" s="18">
        <f>IF(AND(Assumptions!$D$48&gt;0,Assumptions!$C$6&gt;=Assumptions!$D$48,Assumptions!$C$6&lt;Assumptions!$D$48+Assumptions!$D$49),B195,Assumptions!$C$100*Assumptions!$D$47)</f>
        <v/>
      </c>
      <c r="D195" s="18">
        <f>IF(AND(Assumptions!$D$48&gt;0,Assumptions!$D$6&gt;=Assumptions!$D$48,Assumptions!$D$6&lt;Assumptions!$D$48+Assumptions!$D$49),C195,Assumptions!$D$100*Assumptions!$D$47)</f>
        <v/>
      </c>
      <c r="E195" s="18">
        <f>IF(AND(Assumptions!$D$48&gt;0,Assumptions!$E$6&gt;=Assumptions!$D$48,Assumptions!$E$6&lt;Assumptions!$D$48+Assumptions!$D$49),D195,Assumptions!$E$100*Assumptions!$D$47)</f>
        <v/>
      </c>
      <c r="F195" s="18">
        <f>IF(AND(Assumptions!$D$48&gt;0,Assumptions!$F$6&gt;=Assumptions!$D$48,Assumptions!$F$6&lt;Assumptions!$D$48+Assumptions!$D$49),E195,Assumptions!$F$100*Assumptions!$D$47)</f>
        <v/>
      </c>
      <c r="G195" s="18">
        <f>IF(AND(Assumptions!$D$48&gt;0,Assumptions!$G$6&gt;=Assumptions!$D$48,Assumptions!$G$6&lt;Assumptions!$D$48+Assumptions!$D$49),F195,Assumptions!$G$100*Assumptions!$D$47)</f>
        <v/>
      </c>
      <c r="H195" s="18">
        <f>IF(AND(Assumptions!$D$48&gt;0,Assumptions!$H$6&gt;=Assumptions!$D$48,Assumptions!$H$6&lt;Assumptions!$D$48+Assumptions!$D$49),G195,Assumptions!$H$100*Assumptions!$D$47)</f>
        <v/>
      </c>
    </row>
    <row r="196">
      <c r="A196" s="5" t="inlineStr">
        <is>
          <t xml:space="preserve">  Marketing programmes and events</t>
        </is>
      </c>
      <c r="B196" s="18">
        <f>Assumptions!$B$101</f>
        <v/>
      </c>
      <c r="C196" s="18">
        <f>IF(AND(Assumptions!$D$48&gt;0,Assumptions!$C$6&gt;=Assumptions!$D$48,Assumptions!$C$6&lt;Assumptions!$D$48+Assumptions!$D$49),B196,Assumptions!$C$101*Assumptions!$D$47)</f>
        <v/>
      </c>
      <c r="D196" s="18">
        <f>IF(AND(Assumptions!$D$48&gt;0,Assumptions!$D$6&gt;=Assumptions!$D$48,Assumptions!$D$6&lt;Assumptions!$D$48+Assumptions!$D$49),C196,Assumptions!$D$101*Assumptions!$D$47)</f>
        <v/>
      </c>
      <c r="E196" s="18">
        <f>IF(AND(Assumptions!$D$48&gt;0,Assumptions!$E$6&gt;=Assumptions!$D$48,Assumptions!$E$6&lt;Assumptions!$D$48+Assumptions!$D$49),D196,Assumptions!$E$101*Assumptions!$D$47)</f>
        <v/>
      </c>
      <c r="F196" s="18">
        <f>IF(AND(Assumptions!$D$48&gt;0,Assumptions!$F$6&gt;=Assumptions!$D$48,Assumptions!$F$6&lt;Assumptions!$D$48+Assumptions!$D$49),E196,Assumptions!$F$101*Assumptions!$D$47)</f>
        <v/>
      </c>
      <c r="G196" s="18">
        <f>IF(AND(Assumptions!$D$48&gt;0,Assumptions!$G$6&gt;=Assumptions!$D$48,Assumptions!$G$6&lt;Assumptions!$D$48+Assumptions!$D$49),F196,Assumptions!$G$101*Assumptions!$D$47)</f>
        <v/>
      </c>
      <c r="H196" s="18">
        <f>IF(AND(Assumptions!$D$48&gt;0,Assumptions!$H$6&gt;=Assumptions!$D$48,Assumptions!$H$6&lt;Assumptions!$D$48+Assumptions!$D$49),G196,Assumptions!$H$101*Assumptions!$D$47)</f>
        <v/>
      </c>
    </row>
    <row r="197">
      <c r="A197" s="5" t="inlineStr">
        <is>
          <t xml:space="preserve">  Travel and customer visits</t>
        </is>
      </c>
      <c r="B197" s="18">
        <f>Assumptions!$B$102</f>
        <v/>
      </c>
      <c r="C197" s="18">
        <f>IF(AND(Assumptions!$D$48&gt;0,Assumptions!$C$6&gt;=Assumptions!$D$48,Assumptions!$C$6&lt;Assumptions!$D$48+Assumptions!$D$49),B197,Assumptions!$C$102*Assumptions!$D$47)</f>
        <v/>
      </c>
      <c r="D197" s="18">
        <f>IF(AND(Assumptions!$D$48&gt;0,Assumptions!$D$6&gt;=Assumptions!$D$48,Assumptions!$D$6&lt;Assumptions!$D$48+Assumptions!$D$49),C197,Assumptions!$D$102*Assumptions!$D$47)</f>
        <v/>
      </c>
      <c r="E197" s="18">
        <f>IF(AND(Assumptions!$D$48&gt;0,Assumptions!$E$6&gt;=Assumptions!$D$48,Assumptions!$E$6&lt;Assumptions!$D$48+Assumptions!$D$49),D197,Assumptions!$E$102*Assumptions!$D$47)</f>
        <v/>
      </c>
      <c r="F197" s="18">
        <f>IF(AND(Assumptions!$D$48&gt;0,Assumptions!$F$6&gt;=Assumptions!$D$48,Assumptions!$F$6&lt;Assumptions!$D$48+Assumptions!$D$49),E197,Assumptions!$F$102*Assumptions!$D$47)</f>
        <v/>
      </c>
      <c r="G197" s="18">
        <f>IF(AND(Assumptions!$D$48&gt;0,Assumptions!$G$6&gt;=Assumptions!$D$48,Assumptions!$G$6&lt;Assumptions!$D$48+Assumptions!$D$49),F197,Assumptions!$G$102*Assumptions!$D$47)</f>
        <v/>
      </c>
      <c r="H197" s="18">
        <f>IF(AND(Assumptions!$D$48&gt;0,Assumptions!$H$6&gt;=Assumptions!$D$48,Assumptions!$H$6&lt;Assumptions!$D$48+Assumptions!$D$49),G197,Assumptions!$H$102*Assumptions!$D$47)</f>
        <v/>
      </c>
    </row>
    <row r="198">
      <c r="A198" s="5" t="inlineStr">
        <is>
          <t xml:space="preserve">  Office, software, admin, accounting</t>
        </is>
      </c>
      <c r="B198" s="18">
        <f>Assumptions!$B$103</f>
        <v/>
      </c>
      <c r="C198" s="18">
        <f>IF(AND(Assumptions!$D$48&gt;0,Assumptions!$C$6&gt;=Assumptions!$D$48,Assumptions!$C$6&lt;Assumptions!$D$48+Assumptions!$D$49),B198,Assumptions!$C$103*Assumptions!$D$47)</f>
        <v/>
      </c>
      <c r="D198" s="18">
        <f>IF(AND(Assumptions!$D$48&gt;0,Assumptions!$D$6&gt;=Assumptions!$D$48,Assumptions!$D$6&lt;Assumptions!$D$48+Assumptions!$D$49),C198,Assumptions!$D$103*Assumptions!$D$47)</f>
        <v/>
      </c>
      <c r="E198" s="18">
        <f>IF(AND(Assumptions!$D$48&gt;0,Assumptions!$E$6&gt;=Assumptions!$D$48,Assumptions!$E$6&lt;Assumptions!$D$48+Assumptions!$D$49),D198,Assumptions!$E$103*Assumptions!$D$47)</f>
        <v/>
      </c>
      <c r="F198" s="18">
        <f>IF(AND(Assumptions!$D$48&gt;0,Assumptions!$F$6&gt;=Assumptions!$D$48,Assumptions!$F$6&lt;Assumptions!$D$48+Assumptions!$D$49),E198,Assumptions!$F$103*Assumptions!$D$47)</f>
        <v/>
      </c>
      <c r="G198" s="18">
        <f>IF(AND(Assumptions!$D$48&gt;0,Assumptions!$G$6&gt;=Assumptions!$D$48,Assumptions!$G$6&lt;Assumptions!$D$48+Assumptions!$D$49),F198,Assumptions!$G$103*Assumptions!$D$47)</f>
        <v/>
      </c>
      <c r="H198" s="18">
        <f>IF(AND(Assumptions!$D$48&gt;0,Assumptions!$H$6&gt;=Assumptions!$D$48,Assumptions!$H$6&lt;Assumptions!$D$48+Assumptions!$D$49),G198,Assumptions!$H$103*Assumptions!$D$47)</f>
        <v/>
      </c>
    </row>
    <row r="199">
      <c r="A199" s="5" t="inlineStr">
        <is>
          <t xml:space="preserve">  Partner commission on carrier revenue</t>
        </is>
      </c>
      <c r="B199" s="18">
        <f>B172*Assumptions!$B$43</f>
        <v/>
      </c>
      <c r="C199" s="18">
        <f>C172*Assumptions!$B$43</f>
        <v/>
      </c>
      <c r="D199" s="18">
        <f>D172*Assumptions!$B$43</f>
        <v/>
      </c>
      <c r="E199" s="18">
        <f>E172*Assumptions!$B$43</f>
        <v/>
      </c>
      <c r="F199" s="18">
        <f>F172*Assumptions!$B$43</f>
        <v/>
      </c>
      <c r="G199" s="18">
        <f>G172*Assumptions!$B$43</f>
        <v/>
      </c>
      <c r="H199" s="18">
        <f>H172*Assumptions!$B$43</f>
        <v/>
      </c>
    </row>
    <row r="200">
      <c r="A200" s="5" t="inlineStr">
        <is>
          <t>Cost of revenue</t>
        </is>
      </c>
      <c r="B200" s="18">
        <f>B191+B193+B178*Assumptions!$D$50</f>
        <v/>
      </c>
      <c r="C200" s="18">
        <f>C191+C193+C178*Assumptions!$D$50</f>
        <v/>
      </c>
      <c r="D200" s="18">
        <f>D191+D193+D178*Assumptions!$D$50</f>
        <v/>
      </c>
      <c r="E200" s="18">
        <f>E191+E193+E178*Assumptions!$D$50</f>
        <v/>
      </c>
      <c r="F200" s="18">
        <f>F191+F193+F178*Assumptions!$D$50</f>
        <v/>
      </c>
      <c r="G200" s="18">
        <f>G191+G193+G178*Assumptions!$D$50</f>
        <v/>
      </c>
      <c r="H200" s="18">
        <f>H191+H193+H178*Assumptions!$D$50</f>
        <v/>
      </c>
    </row>
    <row r="201">
      <c r="A201" s="5" t="inlineStr">
        <is>
          <t>Gross profit</t>
        </is>
      </c>
      <c r="B201" s="18">
        <f>B178-B200</f>
        <v/>
      </c>
      <c r="C201" s="18">
        <f>C178-C200</f>
        <v/>
      </c>
      <c r="D201" s="18">
        <f>D178-D200</f>
        <v/>
      </c>
      <c r="E201" s="18">
        <f>E178-E200</f>
        <v/>
      </c>
      <c r="F201" s="18">
        <f>F178-F200</f>
        <v/>
      </c>
      <c r="G201" s="18">
        <f>G178-G200</f>
        <v/>
      </c>
      <c r="H201" s="18">
        <f>H178-H200</f>
        <v/>
      </c>
    </row>
    <row r="202">
      <c r="A202" s="5" t="inlineStr">
        <is>
          <t>Gross margin</t>
        </is>
      </c>
      <c r="B202" s="12">
        <f>IF(B178=0,0,B201/B178)</f>
        <v/>
      </c>
      <c r="C202" s="12">
        <f>IF(C178=0,0,C201/C178)</f>
        <v/>
      </c>
      <c r="D202" s="12">
        <f>IF(D178=0,0,D201/D178)</f>
        <v/>
      </c>
      <c r="E202" s="12">
        <f>IF(E178=0,0,E201/E178)</f>
        <v/>
      </c>
      <c r="F202" s="12">
        <f>IF(F178=0,0,F201/F178)</f>
        <v/>
      </c>
      <c r="G202" s="12">
        <f>IF(G178=0,0,G201/G178)</f>
        <v/>
      </c>
      <c r="H202" s="12">
        <f>IF(H178=0,0,H201/H178)</f>
        <v/>
      </c>
    </row>
    <row r="203">
      <c r="A203" s="5" t="inlineStr">
        <is>
          <t>Operating expense</t>
        </is>
      </c>
      <c r="B203" s="18">
        <f>B192+B194+B195+B196+B197+B198+B199</f>
        <v/>
      </c>
      <c r="C203" s="18">
        <f>C192+C194+C195+C196+C197+C198+C199</f>
        <v/>
      </c>
      <c r="D203" s="18">
        <f>D192+D194+D195+D196+D197+D198+D199</f>
        <v/>
      </c>
      <c r="E203" s="18">
        <f>E192+E194+E195+E196+E197+E198+E199</f>
        <v/>
      </c>
      <c r="F203" s="18">
        <f>F192+F194+F195+F196+F197+F198+F199</f>
        <v/>
      </c>
      <c r="G203" s="18">
        <f>G192+G194+G195+G196+G197+G198+G199</f>
        <v/>
      </c>
      <c r="H203" s="18">
        <f>H192+H194+H195+H196+H197+H198+H199</f>
        <v/>
      </c>
    </row>
    <row r="204">
      <c r="A204" s="17" t="inlineStr">
        <is>
          <t>EBITDA</t>
        </is>
      </c>
      <c r="B204" s="18">
        <f>B201-B203</f>
        <v/>
      </c>
      <c r="C204" s="18">
        <f>C201-C203</f>
        <v/>
      </c>
      <c r="D204" s="18">
        <f>D201-D203</f>
        <v/>
      </c>
      <c r="E204" s="18">
        <f>E201-E203</f>
        <v/>
      </c>
      <c r="F204" s="18">
        <f>F201-F203</f>
        <v/>
      </c>
      <c r="G204" s="18">
        <f>G201-G203</f>
        <v/>
      </c>
      <c r="H204" s="18">
        <f>H201-H203</f>
        <v/>
      </c>
    </row>
    <row r="205">
      <c r="A205" s="5" t="inlineStr">
        <is>
          <t>Capex</t>
        </is>
      </c>
      <c r="B205" s="18">
        <f>Assumptions!$B$15*B190</f>
        <v/>
      </c>
      <c r="C205" s="18">
        <f>Assumptions!$B$15*MAX(0,C190-B190)</f>
        <v/>
      </c>
      <c r="D205" s="18">
        <f>Assumptions!$B$15*MAX(0,D190-C190)</f>
        <v/>
      </c>
      <c r="E205" s="18">
        <f>Assumptions!$B$15*MAX(0,E190-D190)</f>
        <v/>
      </c>
      <c r="F205" s="18">
        <f>Assumptions!$B$15*MAX(0,F190-E190)</f>
        <v/>
      </c>
      <c r="G205" s="18">
        <f>Assumptions!$B$15*MAX(0,G190-F190)</f>
        <v/>
      </c>
      <c r="H205" s="18">
        <f>Assumptions!$B$15*MAX(0,H190-G190)</f>
        <v/>
      </c>
    </row>
    <row r="206">
      <c r="A206" s="5" t="inlineStr">
        <is>
          <t>Depreciation</t>
        </is>
      </c>
      <c r="B206" s="18">
        <f>SUMPRODUCT((Assumptions!$B$6:$H$6&lt;=Assumptions!$B$6)*(Assumptions!$B$6:$H$6&gt;Assumptions!$B$6-Assumptions!$B$16)*$B$205:$H$205)/Assumptions!$B$16</f>
        <v/>
      </c>
      <c r="C206" s="18">
        <f>SUMPRODUCT((Assumptions!$B$6:$H$6&lt;=Assumptions!$C$6)*(Assumptions!$B$6:$H$6&gt;Assumptions!$C$6-Assumptions!$B$16)*$B$205:$H$205)/Assumptions!$B$16</f>
        <v/>
      </c>
      <c r="D206" s="18">
        <f>SUMPRODUCT((Assumptions!$B$6:$H$6&lt;=Assumptions!$D$6)*(Assumptions!$B$6:$H$6&gt;Assumptions!$D$6-Assumptions!$B$16)*$B$205:$H$205)/Assumptions!$B$16</f>
        <v/>
      </c>
      <c r="E206" s="18">
        <f>SUMPRODUCT((Assumptions!$B$6:$H$6&lt;=Assumptions!$E$6)*(Assumptions!$B$6:$H$6&gt;Assumptions!$E$6-Assumptions!$B$16)*$B$205:$H$205)/Assumptions!$B$16</f>
        <v/>
      </c>
      <c r="F206" s="18">
        <f>SUMPRODUCT((Assumptions!$B$6:$H$6&lt;=Assumptions!$F$6)*(Assumptions!$B$6:$H$6&gt;Assumptions!$F$6-Assumptions!$B$16)*$B$205:$H$205)/Assumptions!$B$16</f>
        <v/>
      </c>
      <c r="G206" s="18">
        <f>SUMPRODUCT((Assumptions!$B$6:$H$6&lt;=Assumptions!$G$6)*(Assumptions!$B$6:$H$6&gt;Assumptions!$G$6-Assumptions!$B$16)*$B$205:$H$205)/Assumptions!$B$16</f>
        <v/>
      </c>
      <c r="H206" s="18">
        <f>SUMPRODUCT((Assumptions!$B$6:$H$6&lt;=Assumptions!$H$6)*(Assumptions!$B$6:$H$6&gt;Assumptions!$H$6-Assumptions!$B$16)*$B$205:$H$205)/Assumptions!$B$16</f>
        <v/>
      </c>
    </row>
    <row r="207">
      <c r="A207" s="5" t="inlineStr">
        <is>
          <t>Profit before tax</t>
        </is>
      </c>
      <c r="B207" s="18">
        <f>B204-B206+Assumptions!$B$18*Assumptions!$B$17</f>
        <v/>
      </c>
      <c r="C207" s="18">
        <f>C204-C206+B214*Assumptions!$B$17</f>
        <v/>
      </c>
      <c r="D207" s="18">
        <f>D204-D206+C214*Assumptions!$B$17</f>
        <v/>
      </c>
      <c r="E207" s="18">
        <f>E204-E206+D214*Assumptions!$B$17</f>
        <v/>
      </c>
      <c r="F207" s="18">
        <f>F204-F206+E214*Assumptions!$B$17</f>
        <v/>
      </c>
      <c r="G207" s="18">
        <f>G204-G206+F214*Assumptions!$B$17</f>
        <v/>
      </c>
      <c r="H207" s="18">
        <f>H204-H206+G214*Assumptions!$B$17</f>
        <v/>
      </c>
    </row>
    <row r="208">
      <c r="A208" s="5" t="inlineStr">
        <is>
          <t>Cumulative profit before tax</t>
        </is>
      </c>
      <c r="B208" s="18">
        <f>B207</f>
        <v/>
      </c>
      <c r="C208" s="18">
        <f>B208+C207</f>
        <v/>
      </c>
      <c r="D208" s="18">
        <f>C208+D207</f>
        <v/>
      </c>
      <c r="E208" s="18">
        <f>D208+E207</f>
        <v/>
      </c>
      <c r="F208" s="18">
        <f>E208+F207</f>
        <v/>
      </c>
      <c r="G208" s="18">
        <f>F208+G207</f>
        <v/>
      </c>
      <c r="H208" s="18">
        <f>G208+H207</f>
        <v/>
      </c>
    </row>
    <row r="209">
      <c r="A209" s="5" t="inlineStr">
        <is>
          <t>Tax</t>
        </is>
      </c>
      <c r="B209" s="18">
        <f>MAX(0,B208)*Assumptions!$B$12</f>
        <v/>
      </c>
      <c r="C209" s="18">
        <f>MAX(0,MAX(0,C208)-MAX(0,B208))*Assumptions!$B$12</f>
        <v/>
      </c>
      <c r="D209" s="18">
        <f>MAX(0,MAX(0,D208)-MAX(0,C208))*Assumptions!$B$12</f>
        <v/>
      </c>
      <c r="E209" s="18">
        <f>MAX(0,MAX(0,E208)-MAX(0,D208))*Assumptions!$B$12</f>
        <v/>
      </c>
      <c r="F209" s="18">
        <f>MAX(0,MAX(0,F208)-MAX(0,E208))*Assumptions!$B$12</f>
        <v/>
      </c>
      <c r="G209" s="18">
        <f>MAX(0,MAX(0,G208)-MAX(0,F208))*Assumptions!$B$12</f>
        <v/>
      </c>
      <c r="H209" s="18">
        <f>MAX(0,MAX(0,H208)-MAX(0,G208))*Assumptions!$B$12</f>
        <v/>
      </c>
    </row>
    <row r="210">
      <c r="A210" s="17" t="inlineStr">
        <is>
          <t>Net income</t>
        </is>
      </c>
      <c r="B210" s="18">
        <f>B207-B209</f>
        <v/>
      </c>
      <c r="C210" s="18">
        <f>C207-C209</f>
        <v/>
      </c>
      <c r="D210" s="18">
        <f>D207-D209</f>
        <v/>
      </c>
      <c r="E210" s="18">
        <f>E207-E209</f>
        <v/>
      </c>
      <c r="F210" s="18">
        <f>F207-F209</f>
        <v/>
      </c>
      <c r="G210" s="18">
        <f>G207-G209</f>
        <v/>
      </c>
      <c r="H210" s="18">
        <f>H207-H209</f>
        <v/>
      </c>
    </row>
    <row r="211">
      <c r="A211" s="5" t="inlineStr">
        <is>
          <t>Receivables</t>
        </is>
      </c>
      <c r="B211" s="18">
        <f>B178*Assumptions!$B$13/365</f>
        <v/>
      </c>
      <c r="C211" s="18">
        <f>C178*Assumptions!$B$13/365</f>
        <v/>
      </c>
      <c r="D211" s="18">
        <f>D178*Assumptions!$B$13/365</f>
        <v/>
      </c>
      <c r="E211" s="18">
        <f>E178*Assumptions!$B$13/365</f>
        <v/>
      </c>
      <c r="F211" s="18">
        <f>F178*Assumptions!$B$13/365</f>
        <v/>
      </c>
      <c r="G211" s="18">
        <f>G178*Assumptions!$B$13/365</f>
        <v/>
      </c>
      <c r="H211" s="18">
        <f>H178*Assumptions!$B$13/365</f>
        <v/>
      </c>
    </row>
    <row r="212">
      <c r="A212" s="5" t="inlineStr">
        <is>
          <t>Payables</t>
        </is>
      </c>
      <c r="B212" s="18">
        <f>(B193+B178*Assumptions!$D$50+B194+B195+B196+B197+B198+B199)*Assumptions!$B$14/365</f>
        <v/>
      </c>
      <c r="C212" s="18">
        <f>(C193+C178*Assumptions!$D$50+C194+C195+C196+C197+C198+C199)*Assumptions!$B$14/365</f>
        <v/>
      </c>
      <c r="D212" s="18">
        <f>(D193+D178*Assumptions!$D$50+D194+D195+D196+D197+D198+D199)*Assumptions!$B$14/365</f>
        <v/>
      </c>
      <c r="E212" s="18">
        <f>(E193+E178*Assumptions!$D$50+E194+E195+E196+E197+E198+E199)*Assumptions!$B$14/365</f>
        <v/>
      </c>
      <c r="F212" s="18">
        <f>(F193+F178*Assumptions!$D$50+F194+F195+F196+F197+F198+F199)*Assumptions!$B$14/365</f>
        <v/>
      </c>
      <c r="G212" s="18">
        <f>(G193+G178*Assumptions!$D$50+G194+G195+G196+G197+G198+G199)*Assumptions!$B$14/365</f>
        <v/>
      </c>
      <c r="H212" s="18">
        <f>(H193+H178*Assumptions!$D$50+H194+H195+H196+H197+H198+H199)*Assumptions!$B$14/365</f>
        <v/>
      </c>
    </row>
    <row r="213">
      <c r="A213" s="17" t="inlineStr">
        <is>
          <t>Free cash flow (before financing)</t>
        </is>
      </c>
      <c r="B213" s="18">
        <f>B210+B206-(B211)+(B212)-B205</f>
        <v/>
      </c>
      <c r="C213" s="18">
        <f>C210+C206-(C211-B211)+(C212-B212)-C205</f>
        <v/>
      </c>
      <c r="D213" s="18">
        <f>D210+D206-(D211-C211)+(D212-C212)-D205</f>
        <v/>
      </c>
      <c r="E213" s="18">
        <f>E210+E206-(E211-D211)+(E212-D212)-E205</f>
        <v/>
      </c>
      <c r="F213" s="18">
        <f>F210+F206-(F211-E211)+(F212-E212)-F205</f>
        <v/>
      </c>
      <c r="G213" s="18">
        <f>G210+G206-(G211-F211)+(G212-F212)-G205</f>
        <v/>
      </c>
      <c r="H213" s="18">
        <f>H210+H206-(H211-G211)+(H212-G212)-H205</f>
        <v/>
      </c>
    </row>
    <row r="214">
      <c r="A214" s="17" t="inlineStr">
        <is>
          <t>Closing cash with the planned rounds</t>
        </is>
      </c>
      <c r="B214" s="18">
        <f>Assumptions!$B$18+B213+IF(Assumptions!$B$6=Assumptions!$B$22,Assumptions!$B$21,0)+IF(Assumptions!$B$6=Assumptions!$B$24,Assumptions!$B$23,0)+IF(Assumptions!$B$6=Assumptions!$B$26,Assumptions!$B$25,0)</f>
        <v/>
      </c>
      <c r="C214" s="18">
        <f>B214+C213+IF(Assumptions!$C$6=Assumptions!$B$22,Assumptions!$B$21,0)+IF(Assumptions!$C$6=Assumptions!$B$24,Assumptions!$B$23,0)+IF(Assumptions!$C$6=Assumptions!$B$26,Assumptions!$B$25,0)</f>
        <v/>
      </c>
      <c r="D214" s="18">
        <f>C214+D213+IF(Assumptions!$D$6=Assumptions!$B$22,Assumptions!$B$21,0)+IF(Assumptions!$D$6=Assumptions!$B$24,Assumptions!$B$23,0)+IF(Assumptions!$D$6=Assumptions!$B$26,Assumptions!$B$25,0)</f>
        <v/>
      </c>
      <c r="E214" s="18">
        <f>D214+E213+IF(Assumptions!$E$6=Assumptions!$B$22,Assumptions!$B$21,0)+IF(Assumptions!$E$6=Assumptions!$B$24,Assumptions!$B$23,0)+IF(Assumptions!$E$6=Assumptions!$B$26,Assumptions!$B$25,0)</f>
        <v/>
      </c>
      <c r="F214" s="18">
        <f>E214+F213+IF(Assumptions!$F$6=Assumptions!$B$22,Assumptions!$B$21,0)+IF(Assumptions!$F$6=Assumptions!$B$24,Assumptions!$B$23,0)+IF(Assumptions!$F$6=Assumptions!$B$26,Assumptions!$B$25,0)</f>
        <v/>
      </c>
      <c r="G214" s="18">
        <f>F214+G213+IF(Assumptions!$G$6=Assumptions!$B$22,Assumptions!$B$21,0)+IF(Assumptions!$G$6=Assumptions!$B$24,Assumptions!$B$23,0)+IF(Assumptions!$G$6=Assumptions!$B$26,Assumptions!$B$25,0)</f>
        <v/>
      </c>
      <c r="H214" s="18">
        <f>G214+H213+IF(Assumptions!$H$6=Assumptions!$B$22,Assumptions!$B$21,0)+IF(Assumptions!$H$6=Assumptions!$B$24,Assumptions!$B$23,0)+IF(Assumptions!$H$6=Assumptions!$B$26,Assumptions!$B$25,0)</f>
        <v/>
      </c>
    </row>
    <row r="215">
      <c r="A215" s="5" t="inlineStr">
        <is>
          <t>Cumulative free cash flow</t>
        </is>
      </c>
      <c r="B215" s="18">
        <f>B213</f>
        <v/>
      </c>
      <c r="C215" s="18">
        <f>B215+C213</f>
        <v/>
      </c>
      <c r="D215" s="18">
        <f>C215+D213</f>
        <v/>
      </c>
      <c r="E215" s="18">
        <f>D215+E213</f>
        <v/>
      </c>
      <c r="F215" s="18">
        <f>E215+F213</f>
        <v/>
      </c>
      <c r="G215" s="18">
        <f>F215+G213</f>
        <v/>
      </c>
      <c r="H215" s="18">
        <f>G215+H213</f>
        <v/>
      </c>
    </row>
    <row r="216">
      <c r="A216" s="5" t="inlineStr">
        <is>
          <t>Cumulative FCF before the Series A year</t>
        </is>
      </c>
      <c r="B216" s="18">
        <f>IF(Assumptions!$B$6&lt;Assumptions!$B$26,B215,0)</f>
        <v/>
      </c>
      <c r="C216" s="18">
        <f>IF(Assumptions!$C$6&lt;Assumptions!$B$26,C215,0)</f>
        <v/>
      </c>
      <c r="D216" s="18">
        <f>IF(Assumptions!$D$6&lt;Assumptions!$B$26,D215,0)</f>
        <v/>
      </c>
      <c r="E216" s="18">
        <f>IF(Assumptions!$E$6&lt;Assumptions!$B$26,E215,0)</f>
        <v/>
      </c>
      <c r="F216" s="18">
        <f>IF(Assumptions!$F$6&lt;Assumptions!$B$26,F215,0)</f>
        <v/>
      </c>
      <c r="G216" s="18">
        <f>IF(Assumptions!$G$6&lt;Assumptions!$B$26,G215,0)</f>
        <v/>
      </c>
      <c r="H216" s="18">
        <f>IF(Assumptions!$H$6&lt;Assumptions!$B$26,H215,0)</f>
        <v/>
      </c>
    </row>
    <row r="217">
      <c r="A217" s="17" t="inlineStr">
        <is>
          <t>Lowest year-end cash with the planned rounds</t>
        </is>
      </c>
      <c r="B217" s="18">
        <f>MIN(B214:H214)</f>
        <v/>
      </c>
    </row>
    <row r="218">
      <c r="A218" s="17" t="inlineStr">
        <is>
          <t>Total equity need incl. buffer</t>
        </is>
      </c>
      <c r="B218" s="18">
        <f>MAX(0,-MIN(B215:H215))*(1+Assumptions!$B$20)</f>
        <v/>
      </c>
    </row>
    <row r="219">
      <c r="A219" s="17" t="inlineStr">
        <is>
          <t>Seed need incl. buffer (deepest point before a mid-year Series A)</t>
        </is>
      </c>
      <c r="B219" s="18">
        <f>MAX(0,-MIN(0,MIN(B216:H216),SUMPRODUCT((Assumptions!$B$6:$H$6&lt;Assumptions!$B$26)*$B$213:$H$213)+0.5*SUMPRODUCT((Assumptions!$B$6:$H$6=Assumptions!$B$26)*$B$213:$H$213)))*(1+Assumptions!$B$20)</f>
        <v/>
      </c>
    </row>
    <row r="220">
      <c r="A220" s="5" t="inlineStr">
        <is>
          <t>Month ARR crosses the Series A milestone (linear within year)</t>
        </is>
      </c>
      <c r="B220" s="16">
        <f>IF(B179&gt;=Assumptions!$B$19,12*Assumptions!$B$19/B179,"")</f>
        <v/>
      </c>
      <c r="C220" s="16">
        <f>IF(AND(C179&gt;=Assumptions!$B$19,B179&lt;Assumptions!$B$19),12*(Assumptions!$C$6-1)+12*(Assumptions!$B$19-B179)/(C179-B179),"")</f>
        <v/>
      </c>
      <c r="D220" s="16">
        <f>IF(AND(D179&gt;=Assumptions!$B$19,C179&lt;Assumptions!$B$19),12*(Assumptions!$D$6-1)+12*(Assumptions!$B$19-C179)/(D179-C179),"")</f>
        <v/>
      </c>
      <c r="E220" s="16">
        <f>IF(AND(E179&gt;=Assumptions!$B$19,D179&lt;Assumptions!$B$19),12*(Assumptions!$E$6-1)+12*(Assumptions!$B$19-D179)/(E179-D179),"")</f>
        <v/>
      </c>
      <c r="F220" s="16">
        <f>IF(AND(F179&gt;=Assumptions!$B$19,E179&lt;Assumptions!$B$19),12*(Assumptions!$F$6-1)+12*(Assumptions!$B$19-E179)/(F179-E179),"")</f>
        <v/>
      </c>
      <c r="G220" s="16">
        <f>IF(AND(G179&gt;=Assumptions!$B$19,F179&lt;Assumptions!$B$19),12*(Assumptions!$G$6-1)+12*(Assumptions!$B$19-F179)/(G179-F179),"")</f>
        <v/>
      </c>
      <c r="H220" s="16">
        <f>IF(AND(H179&gt;=Assumptions!$B$19,G179&lt;Assumptions!$B$19),12*(Assumptions!$H$6-1)+12*(Assumptions!$B$19-G179)/(H179-G179),"")</f>
        <v/>
      </c>
    </row>
    <row r="221">
      <c r="A221" s="17" t="inlineStr">
        <is>
          <t>Series A milestone month</t>
        </is>
      </c>
      <c r="B221" s="14">
        <f>IF(COUNT(B220:H220)=0,"not reached",ROUNDUP(SUM(B220:H220),0))</f>
        <v/>
      </c>
    </row>
    <row r="222">
      <c r="A222" s="5" t="inlineStr">
        <is>
          <t>Cash if only the seed is raised</t>
        </is>
      </c>
      <c r="B222" s="18">
        <f>(Assumptions!$B$18+Assumptions!$B$21+Assumptions!$B$23)+B215</f>
        <v/>
      </c>
      <c r="C222" s="18">
        <f>(Assumptions!$B$18+Assumptions!$B$21+Assumptions!$B$23)+C215</f>
        <v/>
      </c>
      <c r="D222" s="18">
        <f>(Assumptions!$B$18+Assumptions!$B$21+Assumptions!$B$23)+D215</f>
        <v/>
      </c>
      <c r="E222" s="18">
        <f>(Assumptions!$B$18+Assumptions!$B$21+Assumptions!$B$23)+E215</f>
        <v/>
      </c>
      <c r="F222" s="18">
        <f>(Assumptions!$B$18+Assumptions!$B$21+Assumptions!$B$23)+F215</f>
        <v/>
      </c>
      <c r="G222" s="18">
        <f>(Assumptions!$B$18+Assumptions!$B$21+Assumptions!$B$23)+G215</f>
        <v/>
      </c>
      <c r="H222" s="18">
        <f>(Assumptions!$B$18+Assumptions!$B$21+Assumptions!$B$23)+H215</f>
        <v/>
      </c>
    </row>
    <row r="223">
      <c r="A223" s="5" t="inlineStr">
        <is>
          <t>Month seed-only cash runs out (linear within year)</t>
        </is>
      </c>
      <c r="B223" s="16">
        <f>IF(B222&lt;0,12*(Assumptions!$B$18+Assumptions!$B$21+Assumptions!$B$23)/((Assumptions!$B$18+Assumptions!$B$21+Assumptions!$B$23)-B222),"")</f>
        <v/>
      </c>
      <c r="C223" s="16">
        <f>IF(AND(C222&lt;0,B222&gt;=0),12*(Assumptions!$C$6-1)+12*B222/(B222-C222),"")</f>
        <v/>
      </c>
      <c r="D223" s="16">
        <f>IF(AND(D222&lt;0,C222&gt;=0),12*(Assumptions!$D$6-1)+12*C222/(C222-D222),"")</f>
        <v/>
      </c>
      <c r="E223" s="16">
        <f>IF(AND(E222&lt;0,D222&gt;=0),12*(Assumptions!$E$6-1)+12*D222/(D222-E222),"")</f>
        <v/>
      </c>
      <c r="F223" s="16">
        <f>IF(AND(F222&lt;0,E222&gt;=0),12*(Assumptions!$F$6-1)+12*E222/(E222-F222),"")</f>
        <v/>
      </c>
      <c r="G223" s="16">
        <f>IF(AND(G222&lt;0,F222&gt;=0),12*(Assumptions!$G$6-1)+12*F222/(F222-G222),"")</f>
        <v/>
      </c>
      <c r="H223" s="16">
        <f>IF(AND(H222&lt;0,G222&gt;=0),12*(Assumptions!$H$6-1)+12*G222/(G222-H222),"")</f>
        <v/>
      </c>
    </row>
    <row r="224">
      <c r="A224" s="17" t="inlineStr">
        <is>
          <t>Seed runway in months, without a Series A</t>
        </is>
      </c>
      <c r="B224" s="14">
        <f>IF(COUNT(B223:H223)=0,"beyond month 84",ROUNDDOWN(SUM(B223:H223),0))</f>
        <v/>
      </c>
    </row>
    <row r="225"/>
    <row r="226">
      <c r="A226" s="3" t="inlineStr">
        <is>
          <t>Consistency checks: active scenario on this tab minus main tabs (all must be 0)</t>
        </is>
      </c>
      <c r="B226" s="4" t="n"/>
      <c r="C226" s="4" t="n"/>
      <c r="D226" s="4" t="n"/>
      <c r="E226" s="4" t="n"/>
      <c r="F226" s="4" t="n"/>
      <c r="G226" s="4" t="n"/>
      <c r="H226" s="4" t="n"/>
      <c r="I226" s="4" t="n"/>
      <c r="J226" s="4" t="n"/>
    </row>
    <row r="227">
      <c r="A227" s="5" t="inlineStr">
        <is>
          <t>Check rev</t>
        </is>
      </c>
      <c r="B227" s="18">
        <f>ROUND(CHOOSE(Assumptions!$B$5,B30,B104,B178)-Revenue!B30,6)</f>
        <v/>
      </c>
      <c r="C227" s="18">
        <f>ROUND(CHOOSE(Assumptions!$B$5,C30,C104,C178)-Revenue!C30,6)</f>
        <v/>
      </c>
      <c r="D227" s="18">
        <f>ROUND(CHOOSE(Assumptions!$B$5,D30,D104,D178)-Revenue!D30,6)</f>
        <v/>
      </c>
      <c r="E227" s="18">
        <f>ROUND(CHOOSE(Assumptions!$B$5,E30,E104,E178)-Revenue!E30,6)</f>
        <v/>
      </c>
      <c r="F227" s="18">
        <f>ROUND(CHOOSE(Assumptions!$B$5,F30,F104,F178)-Revenue!F30,6)</f>
        <v/>
      </c>
      <c r="G227" s="18">
        <f>ROUND(CHOOSE(Assumptions!$B$5,G30,G104,G178)-Revenue!G30,6)</f>
        <v/>
      </c>
      <c r="H227" s="18">
        <f>ROUND(CHOOSE(Assumptions!$B$5,H30,H104,H178)-Revenue!H30,6)</f>
        <v/>
      </c>
    </row>
    <row r="228">
      <c r="A228" s="5" t="inlineStr">
        <is>
          <t>Check ebitda</t>
        </is>
      </c>
      <c r="B228" s="18">
        <f>ROUND(CHOOSE(Assumptions!$B$5,B56,B130,B204)-'P&amp;L'!B14,6)</f>
        <v/>
      </c>
      <c r="C228" s="18">
        <f>ROUND(CHOOSE(Assumptions!$B$5,C56,C130,C204)-'P&amp;L'!C14,6)</f>
        <v/>
      </c>
      <c r="D228" s="18">
        <f>ROUND(CHOOSE(Assumptions!$B$5,D56,D130,D204)-'P&amp;L'!D14,6)</f>
        <v/>
      </c>
      <c r="E228" s="18">
        <f>ROUND(CHOOSE(Assumptions!$B$5,E56,E130,E204)-'P&amp;L'!E14,6)</f>
        <v/>
      </c>
      <c r="F228" s="18">
        <f>ROUND(CHOOSE(Assumptions!$B$5,F56,F130,F204)-'P&amp;L'!F14,6)</f>
        <v/>
      </c>
      <c r="G228" s="18">
        <f>ROUND(CHOOSE(Assumptions!$B$5,G56,G130,G204)-'P&amp;L'!G14,6)</f>
        <v/>
      </c>
      <c r="H228" s="18">
        <f>ROUND(CHOOSE(Assumptions!$B$5,H56,H130,H204)-'P&amp;L'!H14,6)</f>
        <v/>
      </c>
    </row>
    <row r="229">
      <c r="A229" s="5" t="inlineStr">
        <is>
          <t>Check ni</t>
        </is>
      </c>
      <c r="B229" s="18">
        <f>ROUND(CHOOSE(Assumptions!$B$5,B62,B136,B210)-'P&amp;L'!B22,6)</f>
        <v/>
      </c>
      <c r="C229" s="18">
        <f>ROUND(CHOOSE(Assumptions!$B$5,C62,C136,C210)-'P&amp;L'!C22,6)</f>
        <v/>
      </c>
      <c r="D229" s="18">
        <f>ROUND(CHOOSE(Assumptions!$B$5,D62,D136,D210)-'P&amp;L'!D22,6)</f>
        <v/>
      </c>
      <c r="E229" s="18">
        <f>ROUND(CHOOSE(Assumptions!$B$5,E62,E136,E210)-'P&amp;L'!E22,6)</f>
        <v/>
      </c>
      <c r="F229" s="18">
        <f>ROUND(CHOOSE(Assumptions!$B$5,F62,F136,F210)-'P&amp;L'!F22,6)</f>
        <v/>
      </c>
      <c r="G229" s="18">
        <f>ROUND(CHOOSE(Assumptions!$B$5,G62,G136,G210)-'P&amp;L'!G22,6)</f>
        <v/>
      </c>
      <c r="H229" s="18">
        <f>ROUND(CHOOSE(Assumptions!$B$5,H62,H136,H210)-'P&amp;L'!H22,6)</f>
        <v/>
      </c>
    </row>
    <row r="230">
      <c r="A230" s="5" t="inlineStr">
        <is>
          <t>Check fcf</t>
        </is>
      </c>
      <c r="B230" s="18">
        <f>ROUND(CHOOSE(Assumptions!$B$5,B65,B139,B213)-'Cash Flow'!B10,6)</f>
        <v/>
      </c>
      <c r="C230" s="18">
        <f>ROUND(CHOOSE(Assumptions!$B$5,C65,C139,C213)-'Cash Flow'!C10,6)</f>
        <v/>
      </c>
      <c r="D230" s="18">
        <f>ROUND(CHOOSE(Assumptions!$B$5,D65,D139,D213)-'Cash Flow'!D10,6)</f>
        <v/>
      </c>
      <c r="E230" s="18">
        <f>ROUND(CHOOSE(Assumptions!$B$5,E65,E139,E213)-'Cash Flow'!E10,6)</f>
        <v/>
      </c>
      <c r="F230" s="18">
        <f>ROUND(CHOOSE(Assumptions!$B$5,F65,F139,F213)-'Cash Flow'!F10,6)</f>
        <v/>
      </c>
      <c r="G230" s="18">
        <f>ROUND(CHOOSE(Assumptions!$B$5,G65,G139,G213)-'Cash Flow'!G10,6)</f>
        <v/>
      </c>
      <c r="H230" s="18">
        <f>ROUND(CHOOSE(Assumptions!$B$5,H65,H139,H213)-'Cash Flow'!H10,6)</f>
        <v/>
      </c>
    </row>
    <row r="231">
      <c r="A231" s="5" t="inlineStr">
        <is>
          <t>Check cash</t>
        </is>
      </c>
      <c r="B231" s="18">
        <f>ROUND(CHOOSE(Assumptions!$B$5,B66,B140,B214)-'Cash Flow'!B17,6)</f>
        <v/>
      </c>
      <c r="C231" s="18">
        <f>ROUND(CHOOSE(Assumptions!$B$5,C66,C140,C214)-'Cash Flow'!C17,6)</f>
        <v/>
      </c>
      <c r="D231" s="18">
        <f>ROUND(CHOOSE(Assumptions!$B$5,D66,D140,D214)-'Cash Flow'!D17,6)</f>
        <v/>
      </c>
      <c r="E231" s="18">
        <f>ROUND(CHOOSE(Assumptions!$B$5,E66,E140,E214)-'Cash Flow'!E17,6)</f>
        <v/>
      </c>
      <c r="F231" s="18">
        <f>ROUND(CHOOSE(Assumptions!$B$5,F66,F140,F214)-'Cash Flow'!F17,6)</f>
        <v/>
      </c>
      <c r="G231" s="18">
        <f>ROUND(CHOOSE(Assumptions!$B$5,G66,G140,G214)-'Cash Flow'!G17,6)</f>
        <v/>
      </c>
      <c r="H231" s="18">
        <f>ROUND(CHOOSE(Assumptions!$B$5,H66,H140,H214)-'Cash Flow'!H17,6)</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2026-10-17T23:07:55Z</dcterms:created>
  <dcterms:modified xsi:type="dcterms:W3CDTF">2026-10-17T23:07:55Z</dcterms:modified>
</cp:coreProperties>
</file>